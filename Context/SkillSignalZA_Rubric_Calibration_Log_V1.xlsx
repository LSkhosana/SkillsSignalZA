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7b7d27719054377" /></Relationships>
</file>

<file path=xl/workbook.xml><?xml version="1.0" encoding="utf-8"?>
<x:workbook xmlns:x="http://schemas.openxmlformats.org/spreadsheetml/2006/main">
  <x:sheets>
    <x:sheet xmlns:r="http://schemas.openxmlformats.org/officeDocument/2006/relationships" name="Overview" sheetId="1" r:id="R27b0df3d6ad7452c"/>
    <x:sheet xmlns:r="http://schemas.openxmlformats.org/officeDocument/2006/relationships" name="Evidence Matrix" sheetId="2" r:id="Ra4b959f0869943e1"/>
    <x:sheet xmlns:r="http://schemas.openxmlformats.org/officeDocument/2006/relationships" name="Weight Comparison" sheetId="3" r:id="Rda2a11dba58f4c50"/>
    <x:sheet xmlns:r="http://schemas.openxmlformats.org/officeDocument/2006/relationships" name="Scoring Architecture" sheetId="4" r:id="Rddb8e4b92a564f77"/>
    <x:sheet xmlns:r="http://schemas.openxmlformats.org/officeDocument/2006/relationships" name="Qualifications &amp; Bands" sheetId="5" r:id="R9551a1d09803414b"/>
    <x:sheet xmlns:r="http://schemas.openxmlformats.org/officeDocument/2006/relationships" name="Approved Rules" sheetId="6" r:id="Ra9aaabe6ff37465e"/>
    <x:sheet xmlns:r="http://schemas.openxmlformats.org/officeDocument/2006/relationships" name="QA Checks" sheetId="7" r:id="Rfa9f51cb8dc14cd7"/>
    <x:sheet xmlns:r="http://schemas.openxmlformats.org/officeDocument/2006/relationships" name="Candidate Test Queue" sheetId="8" r:id="R30dcc0ad440447c4"/>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8">
    <x:font>
      <x:sz val="11"/>
      <x:name val="Carlito"/>
    </x:font>
    <x:font>
      <x:b/>
      <x:sz val="18"/>
      <x:color rgb="FFFFFFFF"/>
      <x:name val="Carlito"/>
    </x:font>
    <x:font>
      <x:b/>
      <x:sz val="10"/>
      <x:color rgb="FFFFFFFF"/>
      <x:name val="Carlito"/>
    </x:font>
    <x:font>
      <x:sz val="9"/>
      <x:color rgb="FF1F2937"/>
      <x:name val="Carlito"/>
    </x:font>
    <x:font>
      <x:b/>
      <x:sz val="11"/>
      <x:color rgb="FFFFFFFF"/>
      <x:name val="Carlito"/>
    </x:font>
    <x:font>
      <x:sz val="10"/>
      <x:color rgb="FF1F2937"/>
      <x:name val="Carlito"/>
    </x:font>
    <x:font>
      <x:i/>
      <x:sz val="10"/>
      <x:color rgb="FF52606D"/>
      <x:name val="Carlito"/>
    </x:font>
    <x:font>
      <x:b/>
      <x:sz val="9"/>
      <x:color rgb="FF0B2545"/>
      <x:name val="Carlito"/>
    </x:font>
  </x:fonts>
  <x:fills count="9">
    <x:fill>
      <x:patternFill patternType="none"/>
    </x:fill>
    <x:fill>
      <x:patternFill patternType="gray125"/>
    </x:fill>
    <x:fill>
      <x:patternFill patternType="solid">
        <x:fgColor rgb="FF0B2545"/>
      </x:patternFill>
    </x:fill>
    <x:fill>
      <x:patternFill patternType="solid">
        <x:fgColor rgb="FF1F4E78"/>
      </x:patternFill>
    </x:fill>
    <x:fill>
      <x:patternFill patternType="solid">
        <x:fgColor rgb="FF0F766E"/>
      </x:patternFill>
    </x:fill>
    <x:fill>
      <x:patternFill patternType="solid">
        <x:fgColor rgb="FFE6F4F1"/>
      </x:patternFill>
    </x:fill>
    <x:fill>
      <x:patternFill patternType="solid">
        <x:fgColor rgb="FFF3F5F7"/>
      </x:patternFill>
    </x:fill>
    <x:fill>
      <x:patternFill patternType="solid">
        <x:fgColor rgb="FFE8EEF5"/>
      </x:patternFill>
    </x:fill>
    <x:fill>
      <x:patternFill patternType="solid">
        <x:fgColor rgb="FFFFF2CC"/>
      </x:patternFill>
    </x:fill>
  </x:fills>
  <x:borders count="6">
    <x:border/>
    <x:border>
      <x:left style="thin">
        <x:color rgb="FF1F4E78"/>
      </x:left>
      <x:top style="thin">
        <x:color rgb="FF1F4E78"/>
      </x:top>
      <x:bottom style="thin">
        <x:color rgb="FF1F4E78"/>
      </x:bottom>
    </x:border>
    <x:border>
      <x:right style="thin">
        <x:color rgb="FF1F4E78"/>
      </x:right>
      <x:top style="thin">
        <x:color rgb="FF1F4E78"/>
      </x:top>
      <x:bottom style="thin">
        <x:color rgb="FF1F4E78"/>
      </x:bottom>
    </x:border>
    <x:border>
      <x:bottom style="thin">
        <x:color rgb="FFD6DCE4"/>
      </x:bottom>
    </x:border>
    <x:border>
      <x:top style="thin">
        <x:color rgb="FFD6DCE4"/>
      </x:top>
      <x:bottom style="thin">
        <x:color rgb="FFD6DCE4"/>
      </x:bottom>
    </x:border>
    <x:border>
      <x:top style="thin">
        <x:color rgb="FF1F4E78"/>
      </x:top>
      <x:bottom style="thin">
        <x:color rgb="FF1F4E78"/>
      </x:bottom>
    </x:border>
  </x:borders>
  <x:cellStyleXfs count="1">
    <x:xf numFmtId="0" fontId="0" fillId="0" borderId="0"/>
  </x:cellStyleXfs>
  <x:cellXfs count="5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1" fillId="2" borderId="0" xfId="0" applyNumberFormat="1" applyFont="1" applyFill="1" applyBorder="1" applyAlignment="1">
      <x:alignment horizontal="left" vertical="center" wrapText="1"/>
    </x:xf>
    <x:xf numFmtId="0" fontId="0"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2" xfId="0" applyNumberFormat="1" applyFont="1" applyFill="1" applyBorder="1"/>
    <x:xf numFmtId="0" fontId="2" fillId="3" borderId="1" xfId="0" applyNumberFormat="1" applyFont="1" applyFill="1" applyBorder="1" applyAlignment="1">
      <x:alignment wrapText="1"/>
    </x:xf>
    <x:xf numFmtId="0" fontId="2" fillId="3" borderId="2"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2"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2" fillId="3" borderId="2" xfId="0" applyNumberFormat="1" applyFont="1" applyFill="1" applyBorder="1" applyAlignment="1">
      <x:alignment horizontal="center" vertical="center" wrapText="1"/>
    </x:xf>
    <x:xf numFmtId="0" fontId="3" fillId="0" borderId="0" xfId="0" applyNumberFormat="1" applyFont="1" applyFill="1" applyBorder="1"/>
    <x:xf numFmtId="0" fontId="3" fillId="0" borderId="3" xfId="0" applyNumberFormat="1" applyFont="1" applyFill="1" applyBorder="1"/>
    <x:xf numFmtId="0" fontId="3" fillId="0" borderId="4" xfId="0" applyNumberFormat="1" applyFont="1" applyFill="1" applyBorder="1"/>
    <x:xf numFmtId="0" fontId="3" fillId="0" borderId="3" xfId="0" applyNumberFormat="1" applyFont="1" applyFill="1" applyBorder="1" applyAlignment="1">
      <x:alignment wrapText="1"/>
    </x:xf>
    <x:xf numFmtId="0" fontId="3" fillId="0" borderId="4" xfId="0" applyNumberFormat="1" applyFont="1" applyFill="1" applyBorder="1" applyAlignment="1">
      <x:alignment wrapText="1"/>
    </x:xf>
    <x:xf numFmtId="0" fontId="3" fillId="0" borderId="3" xfId="0" applyNumberFormat="1" applyFont="1" applyFill="1" applyBorder="1" applyAlignment="1">
      <x:alignment vertical="top" wrapText="1"/>
    </x:xf>
    <x:xf numFmtId="0" fontId="3" fillId="0" borderId="4" xfId="0" applyNumberFormat="1" applyFont="1" applyFill="1" applyBorder="1" applyAlignment="1">
      <x:alignment vertical="top" wrapText="1"/>
    </x:xf>
    <x:xf numFmtId="0" fontId="2" fillId="3" borderId="5" xfId="0" applyNumberFormat="1" applyFont="1" applyFill="1" applyBorder="1"/>
    <x:xf numFmtId="0" fontId="2" fillId="3" borderId="5" xfId="0" applyNumberFormat="1" applyFont="1" applyFill="1" applyBorder="1" applyAlignment="1">
      <x:alignment wrapText="1"/>
    </x:xf>
    <x:xf numFmtId="0" fontId="2" fillId="3" borderId="5" xfId="0" applyNumberFormat="1" applyFont="1" applyFill="1" applyBorder="1" applyAlignment="1">
      <x:alignment horizontal="center" wrapText="1"/>
    </x:xf>
    <x:xf numFmtId="0" fontId="2" fillId="3" borderId="5" xfId="0" applyNumberFormat="1" applyFont="1" applyFill="1" applyBorder="1" applyAlignment="1">
      <x:alignment horizontal="center" vertical="center" wrapText="1"/>
    </x:xf>
    <x:xf numFmtId="0" fontId="0" fillId="4" borderId="0" xfId="0" applyNumberFormat="1" applyFont="1" applyFill="1" applyBorder="1"/>
    <x:xf numFmtId="0" fontId="4" fillId="4" borderId="0" xfId="0" applyNumberFormat="1" applyFont="1" applyFill="1" applyBorder="1"/>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wrapText="1"/>
    </x:xf>
    <x:xf numFmtId="0" fontId="5" fillId="5" borderId="0" xfId="0" applyNumberFormat="1" applyFont="1" applyFill="1" applyBorder="1" applyAlignment="1">
      <x:alignment vertical="center" wrapText="1"/>
    </x:xf>
    <x:xf numFmtId="0" fontId="6" fillId="0" borderId="0" xfId="0" applyNumberFormat="1" applyFont="1" applyFill="1" applyBorder="1"/>
    <x:xf numFmtId="0" fontId="6" fillId="0" borderId="0" xfId="0" applyNumberFormat="1" applyFont="1" applyFill="1" applyBorder="1" applyAlignment="1">
      <x:alignment wrapText="1"/>
    </x:xf>
    <x:xf numFmtId="0" fontId="3" fillId="6" borderId="3" xfId="0" applyNumberFormat="1" applyFont="1" applyFill="1" applyBorder="1" applyAlignment="1">
      <x:alignment vertical="top" wrapText="1"/>
    </x:xf>
    <x:xf numFmtId="0" fontId="3" fillId="6" borderId="4" xfId="0" applyNumberFormat="1" applyFont="1" applyFill="1" applyBorder="1" applyAlignment="1">
      <x:alignment vertical="top" wrapText="1"/>
    </x:xf>
    <x:xf numFmtId="0" fontId="3" fillId="6" borderId="3" xfId="0" applyNumberFormat="1" applyFont="1" applyFill="1" applyBorder="1" applyAlignment="1">
      <x:alignment horizontal="center" vertical="top" wrapText="1"/>
    </x:xf>
    <x:xf numFmtId="0" fontId="3" fillId="0" borderId="4" xfId="0" applyNumberFormat="1" applyFont="1" applyFill="1" applyBorder="1" applyAlignment="1">
      <x:alignment horizontal="center" vertical="top" wrapText="1"/>
    </x:xf>
    <x:xf numFmtId="0" fontId="3" fillId="6" borderId="4" xfId="0" applyNumberFormat="1" applyFont="1" applyFill="1" applyBorder="1" applyAlignment="1">
      <x:alignment horizontal="center" vertical="top" wrapText="1"/>
    </x:xf>
    <x:xf numFmtId="0" fontId="3" fillId="7" borderId="4" xfId="0" applyNumberFormat="1" applyFont="1" applyFill="1" applyBorder="1" applyAlignment="1">
      <x:alignment vertical="top" wrapText="1"/>
    </x:xf>
    <x:xf numFmtId="0" fontId="7" fillId="7" borderId="4" xfId="0" applyNumberFormat="1" applyFont="1" applyFill="1" applyBorder="1" applyAlignment="1">
      <x:alignment vertical="top" wrapText="1"/>
    </x:xf>
    <x:xf numFmtId="0" fontId="7" fillId="7" borderId="1" xfId="0" applyNumberFormat="1" applyFont="1" applyFill="1" applyBorder="1" applyAlignment="1">
      <x:alignment vertical="top" wrapText="1"/>
    </x:xf>
    <x:xf numFmtId="0" fontId="7" fillId="7" borderId="5" xfId="0" applyNumberFormat="1" applyFont="1" applyFill="1" applyBorder="1" applyAlignment="1">
      <x:alignment vertical="top" wrapText="1"/>
    </x:xf>
    <x:xf numFmtId="0" fontId="7" fillId="7" borderId="2" xfId="0" applyNumberFormat="1" applyFont="1" applyFill="1" applyBorder="1" applyAlignment="1">
      <x:alignment vertical="top" wrapText="1"/>
    </x:xf>
    <x:xf numFmtId="200" fontId="3" fillId="0" borderId="3" xfId="0" applyNumberFormat="1" applyFont="1" applyFill="1" applyBorder="1" applyAlignment="1">
      <x:alignment vertical="top" wrapText="1"/>
    </x:xf>
    <x:xf numFmtId="200" fontId="3" fillId="0" borderId="4" xfId="0" applyNumberFormat="1" applyFont="1" applyFill="1" applyBorder="1" applyAlignment="1">
      <x:alignment vertical="top" wrapText="1"/>
    </x:xf>
    <x:xf numFmtId="200" fontId="7" fillId="7" borderId="5" xfId="0" applyNumberFormat="1" applyFont="1" applyFill="1" applyBorder="1" applyAlignment="1">
      <x:alignment vertical="top" wrapText="1"/>
    </x:xf>
    <x:xf numFmtId="200" fontId="0" fillId="0" borderId="0" xfId="0" applyNumberFormat="1" applyFont="1" applyFill="1" applyBorder="1"/>
    <x:xf numFmtId="200" fontId="3" fillId="0" borderId="3" xfId="0" applyNumberFormat="1" applyFont="1" applyFill="1" applyBorder="1" applyAlignment="1">
      <x:alignment horizontal="center" vertical="top" wrapText="1"/>
    </x:xf>
    <x:xf numFmtId="200" fontId="3" fillId="0" borderId="4" xfId="0" applyNumberFormat="1" applyFont="1" applyFill="1" applyBorder="1" applyAlignment="1">
      <x:alignment horizontal="center" vertical="top" wrapText="1"/>
    </x:xf>
    <x:xf numFmtId="200" fontId="7" fillId="7" borderId="5" xfId="0" applyNumberFormat="1" applyFont="1" applyFill="1" applyBorder="1" applyAlignment="1">
      <x:alignment horizontal="center" vertical="top" wrapText="1"/>
    </x:xf>
    <x:xf numFmtId="200" fontId="0" fillId="0" borderId="0" xfId="0" applyNumberFormat="1" applyFont="1" applyFill="1" applyBorder="1" applyAlignment="1">
      <x:alignment horizontal="center"/>
    </x:xf>
    <x:xf numFmtId="200" fontId="3" fillId="6" borderId="3" xfId="0" applyNumberFormat="1" applyFont="1" applyFill="1" applyBorder="1" applyAlignment="1">
      <x:alignment horizontal="center" vertical="top" wrapText="1"/>
    </x:xf>
    <x:xf numFmtId="200" fontId="3" fillId="6" borderId="4" xfId="0" applyNumberFormat="1" applyFont="1" applyFill="1" applyBorder="1" applyAlignment="1">
      <x:alignment horizontal="center" vertical="top" wrapText="1"/>
    </x:xf>
    <x:xf numFmtId="0" fontId="3" fillId="0" borderId="3" xfId="0" applyNumberFormat="1" applyFont="1" applyFill="1" applyBorder="1" applyAlignment="1">
      <x:alignment horizontal="center" vertical="top" wrapText="1"/>
    </x:xf>
    <x:xf numFmtId="0" fontId="3" fillId="8" borderId="3" xfId="0" applyNumberFormat="1" applyFont="1" applyFill="1" applyBorder="1" applyAlignment="1">
      <x:alignment horizontal="center" vertical="top" wrapText="1"/>
    </x:xf>
    <x:xf numFmtId="0" fontId="3" fillId="8" borderId="4" xfId="0" applyNumberFormat="1" applyFont="1" applyFill="1" applyBorder="1" applyAlignment="1">
      <x:alignment horizontal="center" vertical="top" wrapText="1"/>
    </x:xf>
  </x:cellXfs>
  <x:cellStyles count="1">
    <x:cellStyle name="Normal" xfId="0"/>
  </x:cellStyles>
  <x:dxfs count="5">
    <x:dxf>
      <x:font>
        <x:color rgb="FF375623"/>
      </x:font>
      <x:fill>
        <x:patternFill patternType="solid">
          <x:bgColor rgb="FFE2F0D9"/>
        </x:patternFill>
      </x:fill>
    </x:dxf>
    <x:dxf>
      <x:font>
        <x:color rgb="FF9C0006"/>
      </x:font>
      <x:fill>
        <x:patternFill patternType="solid">
          <x:bgColor rgb="FFFCE8E6"/>
        </x:patternFill>
      </x:fill>
    </x:dxf>
    <x:dxf>
      <x:font>
        <x:color rgb="FF7F6000"/>
      </x:font>
      <x:fill>
        <x:patternFill patternType="solid">
          <x:bgColor rgb="FFFFF2CC"/>
        </x:patternFill>
      </x:fill>
    </x:dxf>
    <x:dxf>
      <x:font>
        <x:b/>
        <x:color rgb="FF375623"/>
      </x:font>
      <x:fill>
        <x:patternFill patternType="solid">
          <x:bgColor rgb="FFE2F0D9"/>
        </x:patternFill>
      </x:fill>
    </x:dxf>
    <x:dxf>
      <x:font>
        <x:b/>
        <x:color rgb="FF9C0006"/>
      </x:font>
      <x:fill>
        <x:patternFill patternType="solid">
          <x:bgColor rgb="FFFCE8E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926f85aaed6439e" /><Relationship Type="http://schemas.openxmlformats.org/officeDocument/2006/relationships/theme" Target="/xl/theme/theme1.xml" Id="R73168a4ad5d94816" /><Relationship Type="http://schemas.openxmlformats.org/officeDocument/2006/relationships/sharedStrings" Target="/xl/sharedStrings.xml" Id="R75e0ae3863764fe3" /><Relationship Type="http://schemas.openxmlformats.org/officeDocument/2006/relationships/worksheet" Target="/xl/worksheets/sheet1.xml" Id="R27b0df3d6ad7452c" /><Relationship Type="http://schemas.openxmlformats.org/officeDocument/2006/relationships/worksheet" Target="/xl/worksheets/sheet2.xml" Id="Ra4b959f0869943e1" /><Relationship Type="http://schemas.openxmlformats.org/officeDocument/2006/relationships/worksheet" Target="/xl/worksheets/sheet3.xml" Id="Rda2a11dba58f4c50" /><Relationship Type="http://schemas.openxmlformats.org/officeDocument/2006/relationships/worksheet" Target="/xl/worksheets/sheet4.xml" Id="Rddb8e4b92a564f77" /><Relationship Type="http://schemas.openxmlformats.org/officeDocument/2006/relationships/worksheet" Target="/xl/worksheets/sheet5.xml" Id="R9551a1d09803414b" /><Relationship Type="http://schemas.openxmlformats.org/officeDocument/2006/relationships/worksheet" Target="/xl/worksheets/sheet6.xml" Id="Ra9aaabe6ff37465e" /><Relationship Type="http://schemas.openxmlformats.org/officeDocument/2006/relationships/worksheet" Target="/xl/worksheets/sheet7.xml" Id="Rfa9f51cb8dc14cd7" /><Relationship Type="http://schemas.openxmlformats.org/officeDocument/2006/relationships/worksheet" Target="/xl/worksheets/sheet8.xml" Id="R30dcc0ad440447c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32" hidden="0" customWidth="1"/>
    <x:col min="2" max="2" width="70" hidden="0" customWidth="1"/>
    <x:col min="3" max="3" width="16" hidden="0" customWidth="1"/>
    <x:col min="4" max="4" width="22" hidden="0" customWidth="1"/>
    <x:col min="5" max="5" width="3" hidden="0" customWidth="1"/>
    <x:col min="6" max="6" width="3" hidden="0" customWidth="1"/>
    <x:col min="7" max="7" width="3" hidden="0" customWidth="1"/>
    <x:col min="8" max="8" width="3" hidden="0" customWidth="1"/>
  </x:cols>
  <x:sheetData>
    <x:row r="1" ht="28" customHeight="1">
      <x:c r="A1" s="5" t="str">
        <x:v>SkillSignalZA Rubric Calibration Log V1</x:v>
      </x:c>
    </x:row>
    <x:row r="2" ht="28" customHeight="1"/>
    <x:row r="4">
      <x:c r="A4" s="14" t="str">
        <x:v>Field</x:v>
      </x:c>
      <x:c r="B4" s="15" t="str">
        <x:v>Value</x:v>
      </x:c>
    </x:row>
    <x:row r="5">
      <x:c r="A5" s="21" t="str">
        <x:v>Product</x:v>
      </x:c>
      <x:c r="B5" s="21" t="str">
        <x:v>SkillSignalZA</x:v>
      </x:c>
    </x:row>
    <x:row r="6">
      <x:c r="A6" s="22" t="str">
        <x:v>Calibration date</x:v>
      </x:c>
      <x:c r="B6" s="22" t="str">
        <x:v>2026-08-13</x:v>
      </x:c>
    </x:row>
    <x:row r="7">
      <x:c r="A7" s="22" t="str">
        <x:v>Owner / approver</x:v>
      </x:c>
      <x:c r="B7" s="22" t="str">
        <x:v>Lesedi Skhosana</x:v>
      </x:c>
    </x:row>
    <x:row r="8">
      <x:c r="A8" s="22" t="str">
        <x:v>V2 status</x:v>
      </x:c>
      <x:c r="B8" s="22" t="str">
        <x:v>Launch Candidate - provisional pending candidate testing</x:v>
      </x:c>
    </x:row>
    <x:row r="9">
      <x:c r="A9" s="22" t="str">
        <x:v>Assessment scope</x:v>
      </x:c>
      <x:c r="B9" s="22" t="str">
        <x:v>Application evidence bundle</x:v>
      </x:c>
    </x:row>
    <x:row r="10">
      <x:c r="A10" s="22" t="str">
        <x:v>Market evidence</x:v>
      </x:c>
      <x:c r="B10" s="22" t="str">
        <x:v>38 retained South African entry-level job posts: 22 Software Engineering and 16 Data Analytics</x:v>
      </x:c>
    </x:row>
    <x:row r="11">
      <x:c r="A11" s="22" t="str">
        <x:v>Phase result</x:v>
      </x:c>
      <x:c r="B11" s="22" t="str">
        <x:v>Approved calibration decisions translated into a 100-point rubric for each track</x:v>
      </x:c>
    </x:row>
    <x:row r="13">
      <x:c r="A13" s="14" t="str">
        <x:v>Track</x:v>
      </x:c>
      <x:c r="B13" s="26" t="str">
        <x:v>V1 total</x:v>
      </x:c>
      <x:c r="C13" s="26" t="str">
        <x:v>V2 total</x:v>
      </x:c>
      <x:c r="D13" s="15" t="str">
        <x:v>Decision status</x:v>
      </x:c>
    </x:row>
    <x:row r="14">
      <x:c r="A14" s="21" t="str">
        <x:v>Software Engineering</x:v>
      </x:c>
      <x:c r="B14" s="21" t="n">
        <x:v>100</x:v>
      </x:c>
      <x:c r="C14" s="21" t="n">
        <x:v>100</x:v>
      </x:c>
      <x:c r="D14" s="21" t="str">
        <x:v>Approved</x:v>
      </x:c>
    </x:row>
    <x:row r="15">
      <x:c r="A15" s="22" t="str">
        <x:v>Data Analytics</x:v>
      </x:c>
      <x:c r="B15" s="22" t="n">
        <x:v>100</x:v>
      </x:c>
      <x:c r="C15" s="22" t="n">
        <x:v>100</x:v>
      </x:c>
      <x:c r="D15" s="22" t="str">
        <x:v>Approved</x:v>
      </x:c>
    </x:row>
    <x:row r="16">
      <x:c r="A16" s="22" t="str">
        <x:v>Evidence questions resolved</x:v>
      </x:c>
      <x:c r="B16" s="22" t="n">
        <x:v>13</x:v>
      </x:c>
      <x:c r="C16" s="22" t="n">
        <x:v>13</x:v>
      </x:c>
      <x:c r="D16" s="22" t="str">
        <x:v>Complete</x:v>
      </x:c>
    </x:row>
    <x:row r="17">
      <x:c r="A17" s="22" t="str">
        <x:v>Candidate testing</x:v>
      </x:c>
      <x:c r="B17" s="22" t="n">
        <x:v>0</x:v>
      </x:c>
      <x:c r="C17" s="22" t="n">
        <x:v>0</x:v>
      </x:c>
      <x:c r="D17" s="22" t="str">
        <x:v>Pending Phase 11</x:v>
      </x:c>
    </x:row>
    <x:row r="18">
      <x:c r="A18" s="22" t="str">
        <x:v>Launch label</x:v>
      </x:c>
      <x:c r="B18" s="22" t="str">
        <x:v>Draft</x:v>
      </x:c>
      <x:c r="C18" s="22" t="str">
        <x:v>Launch Candidate</x:v>
      </x:c>
      <x:c r="D18" s="22" t="str">
        <x:v>Approved</x:v>
      </x:c>
    </x:row>
    <x:row r="20">
      <x:c r="A20" s="28" t="str">
        <x:v>Assessment boundary</x:v>
      </x:c>
    </x:row>
    <x:row r="21" ht="24" customHeight="1">
      <x:c r="A21" s="32" t="str">
        <x:v>V2 scores the evidence a candidate submits: the CV plus candidate-provided links. It does not measure hidden capability, interview performance, employment probability, or hiring probability. Candidate testing and deeper capability assessment remain deferred.</x:v>
      </x:c>
    </x:row>
    <x:row r="22" ht="24" customHeight="1"/>
    <x:row r="23" ht="24" customHeight="1"/>
    <x:row r="25">
      <x:c r="A25" s="14" t="str">
        <x:v>Source artifact</x:v>
      </x:c>
      <x:c r="B25" s="15" t="str">
        <x:v>Role</x:v>
      </x:c>
    </x:row>
    <x:row r="26">
      <x:c r="A26" s="21" t="str">
        <x:v>SkillSignalZA_Rubric_V1.docx</x:v>
      </x:c>
      <x:c r="B26" s="21" t="str">
        <x:v>V1 baseline</x:v>
      </x:c>
    </x:row>
    <x:row r="27">
      <x:c r="A27" s="22" t="str">
        <x:v>SkillSignalZA_Cleaned_Dataset_V1.xlsx</x:v>
      </x:c>
      <x:c r="B27" s="22" t="str">
        <x:v>Locked research and QA input</x:v>
      </x:c>
    </x:row>
    <x:row r="28">
      <x:c r="A28" s="22" t="str">
        <x:v>SkillSignalZA_Data_Quality_Report_V1.md</x:v>
      </x:c>
      <x:c r="B28" s="22" t="str">
        <x:v>Locked research and QA input</x:v>
      </x:c>
    </x:row>
    <x:row r="29">
      <x:c r="A29" s="22" t="str">
        <x:v>SkillSignalZA_Market_Analysis_V1.xlsx</x:v>
      </x:c>
      <x:c r="B29" s="22" t="str">
        <x:v>Phase 7 evidence and interpretation</x:v>
      </x:c>
    </x:row>
    <x:row r="30">
      <x:c r="A30" s="22" t="str">
        <x:v>SkillSignalZA_Market_Findings_V1.docx</x:v>
      </x:c>
      <x:c r="B30" s="22" t="str">
        <x:v>Phase 7 evidence and interpretation</x:v>
      </x:c>
    </x:row>
  </x:sheetData>
  <x:mergeCells>
    <x:mergeCell ref="A1:H2"/>
    <x:mergeCell ref="A20:H20"/>
    <x:mergeCell ref="A21:H23"/>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6" hidden="0" customWidth="1"/>
    <x:col min="2" max="2" width="8" hidden="0" customWidth="1"/>
    <x:col min="3" max="3" width="38" hidden="0" customWidth="1"/>
    <x:col min="4" max="4" width="32" hidden="0" customWidth="1"/>
    <x:col min="5" max="5" width="22" hidden="0" customWidth="1"/>
    <x:col min="6" max="6" width="44" hidden="0" customWidth="1"/>
    <x:col min="7" max="7" width="44" hidden="0" customWidth="1"/>
    <x:col min="8" max="8" width="12" hidden="0" customWidth="1"/>
    <x:col min="9" max="9" width="34" hidden="0" customWidth="1"/>
  </x:cols>
  <x:sheetData>
    <x:row r="1">
      <x:c r="A1" s="5" t="str">
        <x:v>Phase 7 Evidence to Phase 8 Decisions</x:v>
      </x:c>
    </x:row>
    <x:row r="3">
      <x:c r="A3" s="34" t="str">
        <x:v>All 13 calibration questions are resolved and approved. Counts use the locked 22-post SE and 16-post DA samples.</x:v>
      </x:c>
    </x:row>
    <x:row r="4">
      <x:c r="A4" s="14" t="str">
        <x:v>ID</x:v>
      </x:c>
      <x:c r="B4" s="26" t="str">
        <x:v>Track</x:v>
      </x:c>
      <x:c r="C4" s="26" t="str">
        <x:v>V1 assumption</x:v>
      </x:c>
      <x:c r="D4" s="26" t="str">
        <x:v>Market evidence</x:v>
      </x:c>
      <x:c r="E4" s="26" t="str">
        <x:v>Evidence verdict</x:v>
      </x:c>
      <x:c r="F4" s="26" t="str">
        <x:v>Approved decision</x:v>
      </x:c>
      <x:c r="G4" s="26" t="str">
        <x:v>V2 implementation</x:v>
      </x:c>
      <x:c r="H4" s="26" t="str">
        <x:v>Status</x:v>
      </x:c>
      <x:c r="I4" s="15" t="str">
        <x:v>Candidate-test follow-up</x:v>
      </x:c>
    </x:row>
    <x:row r="5" ht="74" customHeight="1">
      <x:c r="A5" s="37" t="n">
        <x:v>1</x:v>
      </x:c>
      <x:c r="B5" s="37" t="str">
        <x:v>SE</x:v>
      </x:c>
      <x:c r="C5" s="35" t="str">
        <x:v>A specifically named programming language is foundational.</x:v>
      </x:c>
      <x:c r="D5" s="35" t="str">
        <x:v>20 of 22 SE posts named at least one programming language.</x:v>
      </x:c>
      <x:c r="E5" s="35" t="str">
        <x:v>Supported</x:v>
      </x:c>
      <x:c r="F5" s="35" t="str">
        <x:v>Retain central language evidence, remain language-neutral, and cap the overall score at 59 when no language is evidenced.</x:v>
      </x:c>
      <x:c r="G5" s="35" t="str">
        <x:v>Programming language evidence: 12 of 35 Core Technical Skills points; approved cap applied after raw scoring.</x:v>
      </x:c>
      <x:c r="H5" s="37" t="str">
        <x:v>Approved</x:v>
      </x:c>
      <x:c r="I5" s="35" t="str">
        <x:v>Test cap severity on candidate bundles.</x:v>
      </x:c>
    </x:row>
    <x:row r="6" ht="74" customHeight="1">
      <x:c r="A6" s="38" t="n">
        <x:v>2</x:v>
      </x:c>
      <x:c r="B6" s="38" t="str">
        <x:v>SE</x:v>
      </x:c>
      <x:c r="C6" s="22" t="str">
        <x:v>Missing Git should cap Core Technical Skills below the strong band.</x:v>
      </x:c>
      <x:c r="D6" s="22" t="str">
        <x:v>11 of 22 SE posts named Git or GitHub.</x:v>
      </x:c>
      <x:c r="E6" s="22" t="str">
        <x:v>Partially supported</x:v>
      </x:c>
      <x:c r="F6" s="22" t="str">
        <x:v>Remove the Git hard cap but retain Git as a material workflow signal.</x:v>
      </x:c>
      <x:c r="G6" s="22" t="str">
        <x:v>Version-control workflow: 6 of 20 Tools and Platforms points; no cap.</x:v>
      </x:c>
      <x:c r="H6" s="38" t="str">
        <x:v>Approved</x:v>
      </x:c>
      <x:c r="I6" s="22" t="str">
        <x:v>Check scoring spread for candidates without Git.</x:v>
      </x:c>
    </x:row>
    <x:row r="7" ht="74" customHeight="1">
      <x:c r="A7" s="39" t="n">
        <x:v>3</x:v>
      </x:c>
      <x:c r="B7" s="39" t="str">
        <x:v>SE</x:v>
      </x:c>
      <x:c r="C7" s="36" t="str">
        <x:v>A named framework is important for strong tool readiness.</x:v>
      </x:c>
      <x:c r="D7" s="36" t="str">
        <x:v>14 of 22 SE posts named at least one framework or library.</x:v>
      </x:c>
      <x:c r="E7" s="36" t="str">
        <x:v>Partially supported</x:v>
      </x:c>
      <x:c r="F7" s="36" t="str">
        <x:v>Retain framework evidence as valuable but optional.</x:v>
      </x:c>
      <x:c r="G7" s="36" t="str">
        <x:v>Framework or library: 5 of 20 Tools and Platforms points; no cap and no parent-language inference.</x:v>
      </x:c>
      <x:c r="H7" s="39" t="str">
        <x:v>Approved</x:v>
      </x:c>
      <x:c r="I7" s="36" t="str">
        <x:v>Review language-framework consistency flags.</x:v>
      </x:c>
    </x:row>
    <x:row r="8" ht="74" customHeight="1">
      <x:c r="A8" s="38" t="n">
        <x:v>4</x:v>
      </x:c>
      <x:c r="B8" s="38" t="str">
        <x:v>SE</x:v>
      </x:c>
      <x:c r="C8" s="22" t="str">
        <x:v>Deployment awareness is a differentiator rather than a baseline requirement.</x:v>
      </x:c>
      <x:c r="D8" s="22" t="str">
        <x:v>8 of 22 SE posts named AWS, Azure, or Docker.</x:v>
      </x:c>
      <x:c r="E8" s="22" t="str">
        <x:v>Supported</x:v>
      </x:c>
      <x:c r="F8" s="22" t="str">
        <x:v>Retain a modest deployment contribution.</x:v>
      </x:c>
      <x:c r="G8" s="22" t="str">
        <x:v>Deployment, container, or cloud awareness: maximum 2 points.</x:v>
      </x:c>
      <x:c r="H8" s="38" t="str">
        <x:v>Approved</x:v>
      </x:c>
      <x:c r="I8" s="22" t="str">
        <x:v>Confirm two points does not distort category scores.</x:v>
      </x:c>
    </x:row>
    <x:row r="9" ht="74" customHeight="1">
      <x:c r="A9" s="39" t="n">
        <x:v>5</x:v>
      </x:c>
      <x:c r="B9" s="39" t="str">
        <x:v>SE</x:v>
      </x:c>
      <x:c r="C9" s="36" t="str">
        <x:v>Project and portfolio proof warrants 25 percent of the score.</x:v>
      </x:c>
      <x:c r="D9" s="36" t="str">
        <x:v>3 of 22 SE posts explicitly requested portfolio or GitHub proof.</x:v>
      </x:c>
      <x:c r="E9" s="36" t="str">
        <x:v>Challenged</x:v>
      </x:c>
      <x:c r="F9" s="36" t="str">
        <x:v>Reduce project evidence from 25 to 15 points while retaining its diagnostic value.</x:v>
      </x:c>
      <x:c r="G9" s="36" t="str">
        <x:v>Applied Project Evidence: 15 points; CV-only evidence capped at 8 of 15.</x:v>
      </x:c>
      <x:c r="H9" s="39" t="str">
        <x:v>Approved</x:v>
      </x:c>
      <x:c r="I9" s="36" t="str">
        <x:v>Test whether project evidence improves report usefulness and score differentiation.</x:v>
      </x:c>
    </x:row>
    <x:row r="10" ht="74" customHeight="1">
      <x:c r="A10" s="38" t="n">
        <x:v>6</x:v>
      </x:c>
      <x:c r="B10" s="38" t="str">
        <x:v>SE</x:v>
      </x:c>
      <x:c r="C10" s="22" t="str">
        <x:v>README quality, repository organisation, and deployment quality indicate readiness.</x:v>
      </x:c>
      <x:c r="D10" s="22" t="str">
        <x:v>Not measurable from the structured job-post fields.</x:v>
      </x:c>
      <x:c r="E10" s="22" t="str">
        <x:v>Not measurable from job-post data</x:v>
      </x:c>
      <x:c r="F10" s="22" t="str">
        <x:v>Retain transparently as provisional product judgment.</x:v>
      </x:c>
      <x:c r="G10" s="22" t="str">
        <x:v>Documentation and organisation: 3 points; demonstrability or outcome: 2 points.</x:v>
      </x:c>
      <x:c r="H10" s="38" t="str">
        <x:v>Approved</x:v>
      </x:c>
      <x:c r="I10" s="22" t="str">
        <x:v>Validate inter-assessor consistency and candidate usefulness.</x:v>
      </x:c>
    </x:row>
    <x:row r="11" ht="74" customHeight="1">
      <x:c r="A11" s="39" t="n">
        <x:v>7</x:v>
      </x:c>
      <x:c r="B11" s="39" t="str">
        <x:v>DA</x:v>
      </x:c>
      <x:c r="C11" s="36" t="str">
        <x:v>SQL is the most important entry-level technical skill.</x:v>
      </x:c>
      <x:c r="D11" s="36" t="str">
        <x:v>13 of 16 DA posts named SQL.</x:v>
      </x:c>
      <x:c r="E11" s="36" t="str">
        <x:v>Supported</x:v>
      </x:c>
      <x:c r="F11" s="36" t="str">
        <x:v>Increase SQL prominence and prevent a no-SQL bundle from entering the highest band.</x:v>
      </x:c>
      <x:c r="G11" s="36" t="str">
        <x:v>SQL competency: 15 of 40 Core Role Skills points; missing SQL caps final score at 79.</x:v>
      </x:c>
      <x:c r="H11" s="39" t="str">
        <x:v>Approved</x:v>
      </x:c>
      <x:c r="I11" s="36" t="str">
        <x:v>Test top-band cap and named-only SQL anchor.</x:v>
      </x:c>
    </x:row>
    <x:row r="12" ht="74" customHeight="1">
      <x:c r="A12" s="38" t="n">
        <x:v>8</x:v>
      </x:c>
      <x:c r="B12" s="38" t="str">
        <x:v>DA</x:v>
      </x:c>
      <x:c r="C12" s="22" t="str">
        <x:v>Excel or spreadsheet capability is foundational.</x:v>
      </x:c>
      <x:c r="D12" s="22" t="str">
        <x:v>10 of 16 DA posts named Excel.</x:v>
      </x:c>
      <x:c r="E12" s="22" t="str">
        <x:v>Partially supported</x:v>
      </x:c>
      <x:c r="F12" s="22" t="str">
        <x:v>Retain spreadsheet importance and distinguish named, documented, and demonstrated analytical use.</x:v>
      </x:c>
      <x:c r="G12" s="22" t="str">
        <x:v>Spreadsheet analysis: 8 points; Google Sheets alone may earn up to 5 without Excel evidence.</x:v>
      </x:c>
      <x:c r="H12" s="38" t="str">
        <x:v>Approved</x:v>
      </x:c>
      <x:c r="I12" s="22" t="str">
        <x:v>Test the Excel and Google Sheets distinction for fairness.</x:v>
      </x:c>
    </x:row>
    <x:row r="13" ht="74" customHeight="1">
      <x:c r="A13" s="39" t="n">
        <x:v>9</x:v>
      </x:c>
      <x:c r="B13" s="39" t="str">
        <x:v>DA</x:v>
      </x:c>
      <x:c r="C13" s="36" t="str">
        <x:v>Power BI is the leading BI differentiator.</x:v>
      </x:c>
      <x:c r="D13" s="36" t="str">
        <x:v>13 of 16 DA posts named Power BI; Tableau appeared in 8.</x:v>
      </x:c>
      <x:c r="E13" s="36" t="str">
        <x:v>Supported</x:v>
      </x:c>
      <x:c r="F13" s="36" t="str">
        <x:v>Keep Power BI prominent while crediting comparable BI capability.</x:v>
      </x:c>
      <x:c r="G13" s="36" t="str">
        <x:v>BI capability: 9 points for recognised tools; one additional Power BI market-alignment point.</x:v>
      </x:c>
      <x:c r="H13" s="39" t="str">
        <x:v>Approved</x:v>
      </x:c>
      <x:c r="I13" s="36" t="str">
        <x:v>Check that the one-point alignment treatment is proportionate.</x:v>
      </x:c>
    </x:row>
    <x:row r="14" ht="74" customHeight="1">
      <x:c r="A14" s="38" t="n">
        <x:v>10</x:v>
      </x:c>
      <x:c r="B14" s="38" t="str">
        <x:v>DA</x:v>
      </x:c>
      <x:c r="C14" s="22" t="str">
        <x:v>Python is valuable but not universally required.</x:v>
      </x:c>
      <x:c r="D14" s="22" t="str">
        <x:v>8 of 16 DA posts named Python.</x:v>
      </x:c>
      <x:c r="E14" s="22" t="str">
        <x:v>Supported</x:v>
      </x:c>
      <x:c r="F14" s="22" t="str">
        <x:v>Retain Python or R as strong secondary evidence without a gate.</x:v>
      </x:c>
      <x:c r="G14" s="22" t="str">
        <x:v>Python, R, and relevant libraries: 6 of 25 Tools and Platforms points; no cap.</x:v>
      </x:c>
      <x:c r="H14" s="38" t="str">
        <x:v>Approved</x:v>
      </x:c>
      <x:c r="I14" s="22" t="str">
        <x:v>Review equivalent analytical-language treatment.</x:v>
      </x:c>
    </x:row>
    <x:row r="15" ht="74" customHeight="1">
      <x:c r="A15" s="39" t="n">
        <x:v>11</x:v>
      </x:c>
      <x:c r="B15" s="39" t="str">
        <x:v>DA</x:v>
      </x:c>
      <x:c r="C15" s="36" t="str">
        <x:v>Data cleaning is a central requirement.</x:v>
      </x:c>
      <x:c r="D15" s="36" t="str">
        <x:v>1 of 16 posts was explicitly coded with Data Cleaning; capture may understate the competency.</x:v>
      </x:c>
      <x:c r="E15" s="36" t="str">
        <x:v>Insufficient evidence</x:v>
      </x:c>
      <x:c r="F15" s="36" t="str">
        <x:v>Retain the competency without a hard cap and label it pending candidate testing.</x:v>
      </x:c>
      <x:c r="G15" s="36" t="str">
        <x:v>Data cleaning and preparation: 5 of 40 Core Role Skills points.</x:v>
      </x:c>
      <x:c r="H15" s="39" t="str">
        <x:v>Approved</x:v>
      </x:c>
      <x:c r="I15" s="36" t="str">
        <x:v>Assess candidate evidence frequency, usefulness, and scorer consistency.</x:v>
      </x:c>
    </x:row>
    <x:row r="16" ht="74" customHeight="1">
      <x:c r="A16" s="38" t="n">
        <x:v>12</x:v>
      </x:c>
      <x:c r="B16" s="38" t="str">
        <x:v>DA</x:v>
      </x:c>
      <x:c r="C16" s="22" t="str">
        <x:v>Project and portfolio proof warrants 20 percent of the score.</x:v>
      </x:c>
      <x:c r="D16" s="22" t="str">
        <x:v>1 of 16 DA posts explicitly requested portfolio or GitHub proof.</x:v>
      </x:c>
      <x:c r="E16" s="22" t="str">
        <x:v>Challenged</x:v>
      </x:c>
      <x:c r="F16" s="22" t="str">
        <x:v>Reduce project evidence from 20 to 10 points.</x:v>
      </x:c>
      <x:c r="G16" s="22" t="str">
        <x:v>Applied Project Evidence: 10 points; CV-only evidence capped at 6 of 10.</x:v>
      </x:c>
      <x:c r="H16" s="38" t="str">
        <x:v>Approved</x:v>
      </x:c>
      <x:c r="I16" s="22" t="str">
        <x:v>Test whether project evidence predicts report usefulness.</x:v>
      </x:c>
    </x:row>
    <x:row r="17" ht="74" customHeight="1">
      <x:c r="A17" s="39" t="n">
        <x:v>13</x:v>
      </x:c>
      <x:c r="B17" s="39" t="str">
        <x:v>Both</x:v>
      </x:c>
      <x:c r="C17" s="36" t="str">
        <x:v>CV structure, clarity, and specificity can be market-validated from job posts.</x:v>
      </x:c>
      <x:c r="D17" s="36" t="str">
        <x:v>Candidate-CV quality is not observable in job adverts.</x:v>
      </x:c>
      <x:c r="E17" s="36" t="str">
        <x:v>Not measurable from job-post data</x:v>
      </x:c>
      <x:c r="F17" s="36" t="str">
        <x:v>Retain as assessment-quality product judgment and avoid market-validation claims.</x:v>
      </x:c>
      <x:c r="G17" s="36" t="str">
        <x:v>SE alignment and clarity: 10 points; DA alignment and clarity: 8 points.</x:v>
      </x:c>
      <x:c r="H17" s="39" t="str">
        <x:v>Approved</x:v>
      </x:c>
      <x:c r="I17" s="36" t="str">
        <x:v>Measure inter-assessor agreement and customer usefulness.</x:v>
      </x:c>
    </x:row>
  </x:sheetData>
  <x:mergeCells>
    <x:mergeCell ref="A1:I2"/>
    <x:mergeCell ref="A3:J3"/>
  </x:mergeCells>
  <x:conditionalFormatting sqref="E5:E17">
    <x:cfRule type="containsText" dxfId="0" priority="1" operator="containsText" text="Supported"/>
    <x:cfRule type="containsText" dxfId="1" priority="2" operator="containsText" text="Challenged"/>
    <x:cfRule type="containsText" dxfId="2" priority="3" operator="containsText" text="Insufficient"/>
  </x:conditionalFormatting>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24" hidden="0" customWidth="1"/>
    <x:col min="2" max="2" width="28" hidden="0" customWidth="1"/>
    <x:col min="3" max="3" width="38" hidden="0" customWidth="1"/>
    <x:col min="4" max="4" width="11" hidden="0" customWidth="1"/>
    <x:col min="5" max="5" width="11" hidden="0" customWidth="1"/>
    <x:col min="6" max="6" width="9" hidden="0" customWidth="1"/>
    <x:col min="7" max="7" width="50" hidden="0" customWidth="1"/>
  </x:cols>
  <x:sheetData>
    <x:row r="1">
      <x:c r="A1" s="5" t="str">
        <x:v>V1 to V2 Weight Comparison</x:v>
      </x:c>
    </x:row>
    <x:row r="3">
      <x:c r="A3" s="34" t="str">
        <x:v>Formula-driven totals confirm that each V2 track remains a 100-point rubric.</x:v>
      </x:c>
    </x:row>
    <x:row r="4">
      <x:c r="A4" s="14" t="str">
        <x:v>Track</x:v>
      </x:c>
      <x:c r="B4" s="26" t="str">
        <x:v>V1 category</x:v>
      </x:c>
      <x:c r="C4" s="26" t="str">
        <x:v>V2 category</x:v>
      </x:c>
      <x:c r="D4" s="26" t="str">
        <x:v>V1 weight</x:v>
      </x:c>
      <x:c r="E4" s="26" t="str">
        <x:v>V2 weight</x:v>
      </x:c>
      <x:c r="F4" s="26" t="str">
        <x:v>Delta</x:v>
      </x:c>
      <x:c r="G4" s="15" t="str">
        <x:v>Calibration rationale</x:v>
      </x:c>
    </x:row>
    <x:row r="5">
      <x:c r="A5" s="21" t="str">
        <x:v>Software Engineering</x:v>
      </x:c>
      <x:c r="B5" s="21" t="str">
        <x:v>Core Technical Skills</x:v>
      </x:c>
      <x:c r="C5" s="21" t="str">
        <x:v>Core Technical Skills</x:v>
      </x:c>
      <x:c r="D5" s="49" t="n">
        <x:v>35</x:v>
      </x:c>
      <x:c r="E5" s="49" t="n">
        <x:v>35</x:v>
      </x:c>
      <x:c r="F5" s="49" t="n">
        <x:f>E5-D5</x:f>
        <x:v>0</x:v>
      </x:c>
      <x:c r="G5" s="21" t="str">
        <x:v>Retained or reallocated within the approved architecture</x:v>
      </x:c>
    </x:row>
    <x:row r="6">
      <x:c r="A6" s="22" t="str">
        <x:v>Software Engineering</x:v>
      </x:c>
      <x:c r="B6" s="22" t="str">
        <x:v>Tools and Platforms</x:v>
      </x:c>
      <x:c r="C6" s="22" t="str">
        <x:v>Tools and Platforms</x:v>
      </x:c>
      <x:c r="D6" s="50" t="n">
        <x:v>20</x:v>
      </x:c>
      <x:c r="E6" s="50" t="n">
        <x:v>20</x:v>
      </x:c>
      <x:c r="F6" s="50" t="n">
        <x:f>E6-D6</x:f>
        <x:v>0</x:v>
      </x:c>
      <x:c r="G6" s="22" t="str">
        <x:v>Retained or reallocated within the approved architecture</x:v>
      </x:c>
    </x:row>
    <x:row r="7">
      <x:c r="A7" s="22" t="str">
        <x:v>Software Engineering</x:v>
      </x:c>
      <x:c r="B7" s="22" t="str">
        <x:v>Project and Portfolio Proof</x:v>
      </x:c>
      <x:c r="C7" s="22" t="str">
        <x:v>Applied Project Evidence</x:v>
      </x:c>
      <x:c r="D7" s="50" t="n">
        <x:v>25</x:v>
      </x:c>
      <x:c r="E7" s="50" t="n">
        <x:v>15</x:v>
      </x:c>
      <x:c r="F7" s="50" t="n">
        <x:f>E7-D7</x:f>
        <x:v>-10</x:v>
      </x:c>
      <x:c r="G7" s="22" t="str">
        <x:v>Reduced explicit portfolio dominance</x:v>
      </x:c>
    </x:row>
    <x:row r="8">
      <x:c r="A8" s="22" t="str">
        <x:v>Software Engineering</x:v>
      </x:c>
      <x:c r="B8" s="22" t="str">
        <x:v>CV Clarity</x:v>
      </x:c>
      <x:c r="C8" s="22" t="str">
        <x:v>Application Alignment and Qualifications</x:v>
      </x:c>
      <x:c r="D8" s="50" t="n">
        <x:v>12</x:v>
      </x:c>
      <x:c r="E8" s="50" t="n">
        <x:v>20</x:v>
      </x:c>
      <x:c r="F8" s="50" t="n">
        <x:f>E8-D8</x:f>
        <x:v>8</x:v>
      </x:c>
      <x:c r="G8" s="22" t="str">
        <x:v>Expanded to include qualification and market access</x:v>
      </x:c>
    </x:row>
    <x:row r="9">
      <x:c r="A9" s="22" t="str">
        <x:v>Software Engineering</x:v>
      </x:c>
      <x:c r="B9" s="22" t="str">
        <x:v>Work Readiness Signals</x:v>
      </x:c>
      <x:c r="C9" s="22" t="str">
        <x:v>Work Readiness Signals</x:v>
      </x:c>
      <x:c r="D9" s="50" t="n">
        <x:v>8</x:v>
      </x:c>
      <x:c r="E9" s="50" t="n">
        <x:v>10</x:v>
      </x:c>
      <x:c r="F9" s="50" t="n">
        <x:f>E9-D9</x:f>
        <x:v>2</x:v>
      </x:c>
      <x:c r="G9" s="22" t="str">
        <x:v>Moderate increase for evidenced professional signals</x:v>
      </x:c>
    </x:row>
    <x:row r="10">
      <x:c r="A10" s="42" t="str">
        <x:v>Software Engineering total</x:v>
      </x:c>
      <x:c r="B10" s="43"/>
      <x:c r="C10" s="43"/>
      <x:c r="D10" s="51" t="n">
        <x:f>SUM(D5:D9)</x:f>
        <x:v>100</x:v>
      </x:c>
      <x:c r="E10" s="51" t="n">
        <x:f>SUM(E5:E9)</x:f>
        <x:v>100</x:v>
      </x:c>
      <x:c r="F10" s="51" t="n">
        <x:f>E10-D10</x:f>
        <x:v>0</x:v>
      </x:c>
      <x:c r="G10" s="44"/>
    </x:row>
    <x:row r="11">
      <x:c r="D11" s="52"/>
      <x:c r="E11" s="52"/>
      <x:c r="F11" s="52"/>
    </x:row>
    <x:row r="12">
      <x:c r="D12" s="52"/>
      <x:c r="E12" s="52"/>
      <x:c r="F12" s="52"/>
    </x:row>
    <x:row r="13">
      <x:c r="A13" s="21" t="str">
        <x:v>Data Analytics</x:v>
      </x:c>
      <x:c r="B13" s="21" t="str">
        <x:v>Core Role Skills</x:v>
      </x:c>
      <x:c r="C13" s="21" t="str">
        <x:v>Core Role Skills</x:v>
      </x:c>
      <x:c r="D13" s="49" t="n">
        <x:v>35</x:v>
      </x:c>
      <x:c r="E13" s="49" t="n">
        <x:v>40</x:v>
      </x:c>
      <x:c r="F13" s="49" t="n">
        <x:f>E13-D13</x:f>
        <x:v>5</x:v>
      </x:c>
      <x:c r="G13" s="21" t="str">
        <x:v>Increased to reflect concentrated SQL, BI, and spreadsheet demand</x:v>
      </x:c>
    </x:row>
    <x:row r="14">
      <x:c r="A14" s="22" t="str">
        <x:v>Data Analytics</x:v>
      </x:c>
      <x:c r="B14" s="22" t="str">
        <x:v>Tools and Platforms</x:v>
      </x:c>
      <x:c r="C14" s="22" t="str">
        <x:v>Tools and Platforms</x:v>
      </x:c>
      <x:c r="D14" s="50" t="n">
        <x:v>20</x:v>
      </x:c>
      <x:c r="E14" s="50" t="n">
        <x:v>25</x:v>
      </x:c>
      <x:c r="F14" s="50" t="n">
        <x:f>E14-D14</x:f>
        <x:v>5</x:v>
      </x:c>
      <x:c r="G14" s="22" t="str">
        <x:v>Increased to reflect concentrated SQL, BI, and spreadsheet demand</x:v>
      </x:c>
    </x:row>
    <x:row r="15">
      <x:c r="A15" s="22" t="str">
        <x:v>Data Analytics</x:v>
      </x:c>
      <x:c r="B15" s="22" t="str">
        <x:v>Project and Portfolio Proof</x:v>
      </x:c>
      <x:c r="C15" s="22" t="str">
        <x:v>Applied Project Evidence</x:v>
      </x:c>
      <x:c r="D15" s="50" t="n">
        <x:v>20</x:v>
      </x:c>
      <x:c r="E15" s="50" t="n">
        <x:v>10</x:v>
      </x:c>
      <x:c r="F15" s="50" t="n">
        <x:f>E15-D15</x:f>
        <x:v>-10</x:v>
      </x:c>
      <x:c r="G15" s="22" t="str">
        <x:v>Reduced explicit portfolio dominance</x:v>
      </x:c>
    </x:row>
    <x:row r="16">
      <x:c r="A16" s="22" t="str">
        <x:v>Data Analytics</x:v>
      </x:c>
      <x:c r="B16" s="22" t="str">
        <x:v>CV Clarity</x:v>
      </x:c>
      <x:c r="C16" s="22" t="str">
        <x:v>Application Alignment and Qualifications</x:v>
      </x:c>
      <x:c r="D16" s="50" t="n">
        <x:v>15</x:v>
      </x:c>
      <x:c r="E16" s="50" t="n">
        <x:v>15</x:v>
      </x:c>
      <x:c r="F16" s="50" t="n">
        <x:f>E16-D16</x:f>
        <x:v>0</x:v>
      </x:c>
      <x:c r="G16" s="22" t="str">
        <x:v>Retained approved weight</x:v>
      </x:c>
    </x:row>
    <x:row r="17">
      <x:c r="A17" s="22" t="str">
        <x:v>Data Analytics</x:v>
      </x:c>
      <x:c r="B17" s="22" t="str">
        <x:v>Work Readiness Signals</x:v>
      </x:c>
      <x:c r="C17" s="22" t="str">
        <x:v>Work Readiness Signals</x:v>
      </x:c>
      <x:c r="D17" s="50" t="n">
        <x:v>10</x:v>
      </x:c>
      <x:c r="E17" s="50" t="n">
        <x:v>10</x:v>
      </x:c>
      <x:c r="F17" s="50" t="n">
        <x:f>E17-D17</x:f>
        <x:v>0</x:v>
      </x:c>
      <x:c r="G17" s="22" t="str">
        <x:v>Retained approved weight</x:v>
      </x:c>
    </x:row>
    <x:row r="18">
      <x:c r="A18" s="42" t="str">
        <x:v>Data Analytics total</x:v>
      </x:c>
      <x:c r="B18" s="43"/>
      <x:c r="C18" s="43"/>
      <x:c r="D18" s="51" t="n">
        <x:f>SUM(D13:D17)</x:f>
        <x:v>100</x:v>
      </x:c>
      <x:c r="E18" s="51" t="n">
        <x:f>SUM(E13:E17)</x:f>
        <x:v>100</x:v>
      </x:c>
      <x:c r="F18" s="51" t="n">
        <x:f>E18-D18</x:f>
        <x:v>0</x:v>
      </x:c>
      <x:c r="G18" s="44"/>
    </x:row>
  </x:sheetData>
  <x:mergeCells>
    <x:mergeCell ref="A1:G2"/>
    <x:mergeCell ref="A3:J3"/>
    <x:mergeCell ref="A10:C10"/>
    <x:mergeCell ref="A18:C18"/>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3" hidden="0" customWidth="1"/>
    <x:col min="2" max="2" width="34" hidden="0" customWidth="1"/>
    <x:col min="3" max="3" width="13" hidden="0" customWidth="1"/>
    <x:col min="4" max="4" width="37" hidden="0" customWidth="1"/>
    <x:col min="5" max="5" width="11" hidden="0" customWidth="1"/>
    <x:col min="6" max="6" width="17" hidden="0" customWidth="1"/>
    <x:col min="7" max="7" width="17" hidden="0" customWidth="1"/>
    <x:col min="8" max="8" width="14" hidden="0" customWidth="1"/>
    <x:col min="9" max="9" width="24" hidden="0" customWidth="1"/>
    <x:col min="10" max="10" width="58" hidden="0" customWidth="1"/>
  </x:cols>
  <x:sheetData>
    <x:row r="1">
      <x:c r="A1" s="5" t="str">
        <x:v>V2 Criterion-Level Scoring Architecture</x:v>
      </x:c>
    </x:row>
    <x:row r="3">
      <x:c r="A3" s="34" t="str">
        <x:v>Point anchors are explicit. Qualification rows use the separate qualification table; work-readiness rows use strong / limited / missing anchors.</x:v>
      </x:c>
    </x:row>
    <x:row r="4">
      <x:c r="A4" s="14" t="str">
        <x:v>Track</x:v>
      </x:c>
      <x:c r="B4" s="26" t="str">
        <x:v>Category</x:v>
      </x:c>
      <x:c r="C4" s="26" t="str">
        <x:v>Category weight</x:v>
      </x:c>
      <x:c r="D4" s="26" t="str">
        <x:v>Criterion</x:v>
      </x:c>
      <x:c r="E4" s="26" t="str">
        <x:v>Max points</x:v>
      </x:c>
      <x:c r="F4" s="26" t="str">
        <x:v>High / demonstrated</x:v>
      </x:c>
      <x:c r="G4" s="26" t="str">
        <x:v>Medium / documented</x:v>
      </x:c>
      <x:c r="H4" s="26" t="str">
        <x:v>Low / named</x:v>
      </x:c>
      <x:c r="I4" s="26" t="str">
        <x:v>Evidence basis</x:v>
      </x:c>
      <x:c r="J4" s="15" t="str">
        <x:v>Notes and hard rules</x:v>
      </x:c>
    </x:row>
    <x:row r="5" ht="48" customHeight="1">
      <x:c r="A5" s="35" t="str">
        <x:v>Software Engineering</x:v>
      </x:c>
      <x:c r="B5" s="35" t="str">
        <x:v>Core Technical Skills</x:v>
      </x:c>
      <x:c r="C5" s="37" t="n">
        <x:v>35</x:v>
      </x:c>
      <x:c r="D5" s="37" t="str">
        <x:v>Programming language evidence</x:v>
      </x:c>
      <x:c r="E5" s="53" t="n">
        <x:v>12</x:v>
      </x:c>
      <x:c r="F5" s="37" t="n">
        <x:v>12</x:v>
      </x:c>
      <x:c r="G5" s="37" t="n">
        <x:v>9</x:v>
      </x:c>
      <x:c r="H5" s="37" t="n">
        <x:v>4</x:v>
      </x:c>
      <x:c r="I5" s="35" t="str">
        <x:v>Market-supported</x:v>
      </x:c>
      <x:c r="J5" s="35" t="str">
        <x:v>Any specifically evidenced language is eligible. No preferred-language list. If no language is evidenced anywhere, apply the overall cap of 59.</x:v>
      </x:c>
    </x:row>
    <x:row r="6" ht="48" customHeight="1">
      <x:c r="A6" s="22" t="str">
        <x:v>Software Engineering</x:v>
      </x:c>
      <x:c r="B6" s="22" t="str">
        <x:v>Core Technical Skills</x:v>
      </x:c>
      <x:c r="C6" s="38" t="n">
        <x:v>35</x:v>
      </x:c>
      <x:c r="D6" s="38" t="str">
        <x:v>Programming concepts and technical problem-solving</x:v>
      </x:c>
      <x:c r="E6" s="50" t="n">
        <x:v>8</x:v>
      </x:c>
      <x:c r="F6" s="38" t="n">
        <x:v>8</x:v>
      </x:c>
      <x:c r="G6" s="38" t="n">
        <x:v>6</x:v>
      </x:c>
      <x:c r="H6" s="38" t="n">
        <x:v>2</x:v>
      </x:c>
      <x:c r="I6" s="22" t="str">
        <x:v>Partially market-supported</x:v>
      </x:c>
      <x:c r="J6" s="22" t="str">
        <x:v>Examples include functions, data structures, OOP, control flow, algorithms, and reasoned debugging.</x:v>
      </x:c>
    </x:row>
    <x:row r="7" ht="48" customHeight="1">
      <x:c r="A7" s="36" t="str">
        <x:v>Software Engineering</x:v>
      </x:c>
      <x:c r="B7" s="36" t="str">
        <x:v>Core Technical Skills</x:v>
      </x:c>
      <x:c r="C7" s="39" t="n">
        <x:v>35</x:v>
      </x:c>
      <x:c r="D7" s="39" t="str">
        <x:v>Application, API, and system fundamentals</x:v>
      </x:c>
      <x:c r="E7" s="54" t="n">
        <x:v>6</x:v>
      </x:c>
      <x:c r="F7" s="39" t="n">
        <x:v>6</x:v>
      </x:c>
      <x:c r="G7" s="39" t="n">
        <x:v>4</x:v>
      </x:c>
      <x:c r="H7" s="39" t="n">
        <x:v>2</x:v>
      </x:c>
      <x:c r="I7" s="36" t="str">
        <x:v>Partially market-supported</x:v>
      </x:c>
      <x:c r="J7" s="36" t="str">
        <x:v>Credit specific evidence of application structure, APIs, client-server concepts, or system integration.</x:v>
      </x:c>
    </x:row>
    <x:row r="8" ht="48" customHeight="1">
      <x:c r="A8" s="22" t="str">
        <x:v>Software Engineering</x:v>
      </x:c>
      <x:c r="B8" s="22" t="str">
        <x:v>Core Technical Skills</x:v>
      </x:c>
      <x:c r="C8" s="38" t="n">
        <x:v>35</x:v>
      </x:c>
      <x:c r="D8" s="38" t="str">
        <x:v>Database fundamentals</x:v>
      </x:c>
      <x:c r="E8" s="50" t="n">
        <x:v>5</x:v>
      </x:c>
      <x:c r="F8" s="38" t="n">
        <x:v>5</x:v>
      </x:c>
      <x:c r="G8" s="38" t="n">
        <x:v>4</x:v>
      </x:c>
      <x:c r="H8" s="38" t="n">
        <x:v>1</x:v>
      </x:c>
      <x:c r="I8" s="22" t="str">
        <x:v>Market-supported</x:v>
      </x:c>
      <x:c r="J8" s="22" t="str">
        <x:v>Measures database concepts and use; named database products are scored separately under Tools and Platforms.</x:v>
      </x:c>
    </x:row>
    <x:row r="9" ht="48" customHeight="1">
      <x:c r="A9" s="36" t="str">
        <x:v>Software Engineering</x:v>
      </x:c>
      <x:c r="B9" s="36" t="str">
        <x:v>Core Technical Skills</x:v>
      </x:c>
      <x:c r="C9" s="39" t="n">
        <x:v>35</x:v>
      </x:c>
      <x:c r="D9" s="39" t="str">
        <x:v>Debugging and testing awareness</x:v>
      </x:c>
      <x:c r="E9" s="54" t="n">
        <x:v>4</x:v>
      </x:c>
      <x:c r="F9" s="39" t="n">
        <x:v>4</x:v>
      </x:c>
      <x:c r="G9" s="39" t="n">
        <x:v>3</x:v>
      </x:c>
      <x:c r="H9" s="39" t="n">
        <x:v>1</x:v>
      </x:c>
      <x:c r="I9" s="36" t="str">
        <x:v>Partially market-supported</x:v>
      </x:c>
      <x:c r="J9" s="36" t="str">
        <x:v>Testing or debugging must be specific enough to distinguish practice from a generic claim.</x:v>
      </x:c>
    </x:row>
    <x:row r="10" ht="48" customHeight="1">
      <x:c r="A10" s="22" t="str">
        <x:v>Software Engineering</x:v>
      </x:c>
      <x:c r="B10" s="22" t="str">
        <x:v>Tools and Platforms</x:v>
      </x:c>
      <x:c r="C10" s="38" t="n">
        <x:v>20</x:v>
      </x:c>
      <x:c r="D10" s="38" t="str">
        <x:v>Version-control workflow</x:v>
      </x:c>
      <x:c r="E10" s="50" t="n">
        <x:v>6</x:v>
      </x:c>
      <x:c r="F10" s="38" t="n">
        <x:v>6</x:v>
      </x:c>
      <x:c r="G10" s="38" t="n">
        <x:v>4</x:v>
      </x:c>
      <x:c r="H10" s="38" t="n">
        <x:v>2</x:v>
      </x:c>
      <x:c r="I10" s="22" t="str">
        <x:v>Partially market-supported</x:v>
      </x:c>
      <x:c r="J10" s="22" t="str">
        <x:v>Git is material but missing Git creates no category or overall cap.</x:v>
      </x:c>
    </x:row>
    <x:row r="11" ht="48" customHeight="1">
      <x:c r="A11" s="36" t="str">
        <x:v>Software Engineering</x:v>
      </x:c>
      <x:c r="B11" s="36" t="str">
        <x:v>Tools and Platforms</x:v>
      </x:c>
      <x:c r="C11" s="39" t="n">
        <x:v>20</x:v>
      </x:c>
      <x:c r="D11" s="39" t="str">
        <x:v>Framework or library</x:v>
      </x:c>
      <x:c r="E11" s="54" t="n">
        <x:v>5</x:v>
      </x:c>
      <x:c r="F11" s="39" t="n">
        <x:v>5</x:v>
      </x:c>
      <x:c r="G11" s="39" t="n">
        <x:v>4</x:v>
      </x:c>
      <x:c r="H11" s="39" t="n">
        <x:v>2</x:v>
      </x:c>
      <x:c r="I11" s="36" t="str">
        <x:v>Partially market-supported</x:v>
      </x:c>
      <x:c r="J11" s="36" t="str">
        <x:v>A framework strengthens the score but is not mandatory. Do not infer a parent language.</x:v>
      </x:c>
    </x:row>
    <x:row r="12" ht="48" customHeight="1">
      <x:c r="A12" s="22" t="str">
        <x:v>Software Engineering</x:v>
      </x:c>
      <x:c r="B12" s="22" t="str">
        <x:v>Tools and Platforms</x:v>
      </x:c>
      <x:c r="C12" s="38" t="n">
        <x:v>20</x:v>
      </x:c>
      <x:c r="D12" s="38" t="str">
        <x:v>Database platform or tool</x:v>
      </x:c>
      <x:c r="E12" s="50" t="n">
        <x:v>3</x:v>
      </x:c>
      <x:c r="F12" s="38" t="n">
        <x:v>3</x:v>
      </x:c>
      <x:c r="G12" s="38" t="n">
        <x:v>2</x:v>
      </x:c>
      <x:c r="H12" s="38" t="n">
        <x:v>1</x:v>
      </x:c>
      <x:c r="I12" s="22" t="str">
        <x:v>Market-supported</x:v>
      </x:c>
      <x:c r="J12" s="22" t="str">
        <x:v>Examples include PostgreSQL, MySQL, SQL Server, MongoDB, Firebase, or Supabase.</x:v>
      </x:c>
    </x:row>
    <x:row r="13" ht="48" customHeight="1">
      <x:c r="A13" s="36" t="str">
        <x:v>Software Engineering</x:v>
      </x:c>
      <x:c r="B13" s="36" t="str">
        <x:v>Tools and Platforms</x:v>
      </x:c>
      <x:c r="C13" s="39" t="n">
        <x:v>20</x:v>
      </x:c>
      <x:c r="D13" s="39" t="str">
        <x:v>Development environment or command line</x:v>
      </x:c>
      <x:c r="E13" s="54" t="n">
        <x:v>2</x:v>
      </x:c>
      <x:c r="F13" s="39" t="n">
        <x:v>2</x:v>
      </x:c>
      <x:c r="G13" s="39" t="n">
        <x:v>1</x:v>
      </x:c>
      <x:c r="H13" s="39" t="n">
        <x:v>1</x:v>
      </x:c>
      <x:c r="I13" s="36" t="str">
        <x:v>Product judgment</x:v>
      </x:c>
      <x:c r="J13" s="36" t="str">
        <x:v>Do not award more than one point for merely naming an editor.</x:v>
      </x:c>
    </x:row>
    <x:row r="14" ht="48" customHeight="1">
      <x:c r="A14" s="22" t="str">
        <x:v>Software Engineering</x:v>
      </x:c>
      <x:c r="B14" s="22" t="str">
        <x:v>Tools and Platforms</x:v>
      </x:c>
      <x:c r="C14" s="38" t="n">
        <x:v>20</x:v>
      </x:c>
      <x:c r="D14" s="38" t="str">
        <x:v>Collaborative repository platform</x:v>
      </x:c>
      <x:c r="E14" s="50" t="n">
        <x:v>2</x:v>
      </x:c>
      <x:c r="F14" s="38" t="n">
        <x:v>2</x:v>
      </x:c>
      <x:c r="G14" s="38" t="n">
        <x:v>1</x:v>
      </x:c>
      <x:c r="H14" s="38" t="n">
        <x:v>1</x:v>
      </x:c>
      <x:c r="I14" s="22" t="str">
        <x:v>Partially market-supported</x:v>
      </x:c>
      <x:c r="J14" s="22" t="str">
        <x:v>GitHub, GitLab, or Bitbucket may count here when platform use is distinct from Git workflow evidence.</x:v>
      </x:c>
    </x:row>
    <x:row r="15" ht="48" customHeight="1">
      <x:c r="A15" s="36" t="str">
        <x:v>Software Engineering</x:v>
      </x:c>
      <x:c r="B15" s="36" t="str">
        <x:v>Tools and Platforms</x:v>
      </x:c>
      <x:c r="C15" s="39" t="n">
        <x:v>20</x:v>
      </x:c>
      <x:c r="D15" s="39" t="str">
        <x:v>Deployment, container, or cloud awareness</x:v>
      </x:c>
      <x:c r="E15" s="54" t="n">
        <x:v>2</x:v>
      </x:c>
      <x:c r="F15" s="39" t="n">
        <x:v>2</x:v>
      </x:c>
      <x:c r="G15" s="39" t="n">
        <x:v>1</x:v>
      </x:c>
      <x:c r="H15" s="39" t="n">
        <x:v>1</x:v>
      </x:c>
      <x:c r="I15" s="36" t="str">
        <x:v>Market-supported</x:v>
      </x:c>
      <x:c r="J15" s="36" t="str">
        <x:v>Maximum contribution is two points; this is a differentiator, not a baseline gate.</x:v>
      </x:c>
    </x:row>
    <x:row r="16" ht="48" customHeight="1">
      <x:c r="A16" s="22" t="str">
        <x:v>Software Engineering</x:v>
      </x:c>
      <x:c r="B16" s="22" t="str">
        <x:v>Applied Project Evidence</x:v>
      </x:c>
      <x:c r="C16" s="38" t="n">
        <x:v>15</x:v>
      </x:c>
      <x:c r="D16" s="38" t="str">
        <x:v>Proof and accessibility</x:v>
      </x:c>
      <x:c r="E16" s="50" t="n">
        <x:v>3</x:v>
      </x:c>
      <x:c r="F16" s="38" t="n">
        <x:v>3</x:v>
      </x:c>
      <x:c r="G16" s="38" t="n">
        <x:v>1</x:v>
      </x:c>
      <x:c r="H16" s="38" t="n">
        <x:v>0</x:v>
      </x:c>
      <x:c r="I16" s="22" t="str">
        <x:v>Partially market-supported</x:v>
      </x:c>
      <x:c r="J16" s="22" t="str">
        <x:v>Accessible candidate-provided code, portfolio, or deployed work earns the strongest credit.</x:v>
      </x:c>
    </x:row>
    <x:row r="17" ht="48" customHeight="1">
      <x:c r="A17" s="36" t="str">
        <x:v>Software Engineering</x:v>
      </x:c>
      <x:c r="B17" s="36" t="str">
        <x:v>Applied Project Evidence</x:v>
      </x:c>
      <x:c r="C17" s="39" t="n">
        <x:v>15</x:v>
      </x:c>
      <x:c r="D17" s="39" t="str">
        <x:v>Problem definition and track relevance</x:v>
      </x:c>
      <x:c r="E17" s="54" t="n">
        <x:v>3</x:v>
      </x:c>
      <x:c r="F17" s="39" t="n">
        <x:v>3</x:v>
      </x:c>
      <x:c r="G17" s="39" t="n">
        <x:v>2</x:v>
      </x:c>
      <x:c r="H17" s="39" t="n">
        <x:v>1</x:v>
      </x:c>
      <x:c r="I17" s="36" t="str">
        <x:v>Product judgment</x:v>
      </x:c>
      <x:c r="J17" s="36" t="str">
        <x:v>The candidate should explain what was built and why it is relevant.</x:v>
      </x:c>
    </x:row>
    <x:row r="18" ht="48" customHeight="1">
      <x:c r="A18" s="22" t="str">
        <x:v>Software Engineering</x:v>
      </x:c>
      <x:c r="B18" s="22" t="str">
        <x:v>Applied Project Evidence</x:v>
      </x:c>
      <x:c r="C18" s="38" t="n">
        <x:v>15</x:v>
      </x:c>
      <x:c r="D18" s="38" t="str">
        <x:v>Technical depth and ownership</x:v>
      </x:c>
      <x:c r="E18" s="50" t="n">
        <x:v>4</x:v>
      </x:c>
      <x:c r="F18" s="38" t="n">
        <x:v>4</x:v>
      </x:c>
      <x:c r="G18" s="38" t="n">
        <x:v>3</x:v>
      </x:c>
      <x:c r="H18" s="38" t="n">
        <x:v>1</x:v>
      </x:c>
      <x:c r="I18" s="22" t="str">
        <x:v>Product judgment</x:v>
      </x:c>
      <x:c r="J18" s="22" t="str">
        <x:v>Look for implementation detail, decisions, contribution, or modification beyond a tutorial clone.</x:v>
      </x:c>
    </x:row>
    <x:row r="19" ht="48" customHeight="1">
      <x:c r="A19" s="36" t="str">
        <x:v>Software Engineering</x:v>
      </x:c>
      <x:c r="B19" s="36" t="str">
        <x:v>Applied Project Evidence</x:v>
      </x:c>
      <x:c r="C19" s="39" t="n">
        <x:v>15</x:v>
      </x:c>
      <x:c r="D19" s="39" t="str">
        <x:v>Documentation and organisation</x:v>
      </x:c>
      <x:c r="E19" s="54" t="n">
        <x:v>3</x:v>
      </x:c>
      <x:c r="F19" s="39" t="n">
        <x:v>3</x:v>
      </x:c>
      <x:c r="G19" s="39" t="n">
        <x:v>2</x:v>
      </x:c>
      <x:c r="H19" s="39" t="n">
        <x:v>1</x:v>
      </x:c>
      <x:c r="I19" s="36" t="str">
        <x:v>Pending candidate testing</x:v>
      </x:c>
      <x:c r="J19" s="36" t="str">
        <x:v>README and repository organisation are retained as provisional product-judgment criteria.</x:v>
      </x:c>
    </x:row>
    <x:row r="20" ht="48" customHeight="1">
      <x:c r="A20" s="22" t="str">
        <x:v>Software Engineering</x:v>
      </x:c>
      <x:c r="B20" s="22" t="str">
        <x:v>Applied Project Evidence</x:v>
      </x:c>
      <x:c r="C20" s="38" t="n">
        <x:v>15</x:v>
      </x:c>
      <x:c r="D20" s="38" t="str">
        <x:v>Demonstrability or outcome</x:v>
      </x:c>
      <x:c r="E20" s="50" t="n">
        <x:v>2</x:v>
      </x:c>
      <x:c r="F20" s="38" t="n">
        <x:v>2</x:v>
      </x:c>
      <x:c r="G20" s="38" t="n">
        <x:v>1</x:v>
      </x:c>
      <x:c r="H20" s="38" t="n">
        <x:v>0</x:v>
      </x:c>
      <x:c r="I20" s="22" t="str">
        <x:v>Product judgment</x:v>
      </x:c>
      <x:c r="J20" s="22" t="str">
        <x:v>Deployment, a working demo, test evidence, users, or a clear outcome may earn credit.</x:v>
      </x:c>
    </x:row>
    <x:row r="21" ht="48" customHeight="1">
      <x:c r="A21" s="36" t="str">
        <x:v>Software Engineering</x:v>
      </x:c>
      <x:c r="B21" s="36" t="str">
        <x:v>Application Alignment and Qualifications</x:v>
      </x:c>
      <x:c r="C21" s="39" t="n">
        <x:v>20</x:v>
      </x:c>
      <x:c r="D21" s="39" t="str">
        <x:v>Qualification and market-access evidence</x:v>
      </x:c>
      <x:c r="E21" s="54" t="n">
        <x:v>10</x:v>
      </x:c>
      <x:c r="F21" s="39" t="str">
        <x:v>See qualification table</x:v>
      </x:c>
      <x:c r="G21" s="39" t="str">
        <x:v>See qualification table</x:v>
      </x:c>
      <x:c r="H21" s="39" t="n">
        <x:v>0</x:v>
      </x:c>
      <x:c r="I21" s="36" t="str">
        <x:v>Market-supported</x:v>
      </x:c>
      <x:c r="J21" s="36" t="str">
        <x:v>Use the dedicated Software Engineering qualification table; qualifications do not prove technical ability and create no overall cap.</x:v>
      </x:c>
    </x:row>
    <x:row r="22" ht="48" customHeight="1">
      <x:c r="A22" s="22" t="str">
        <x:v>Software Engineering</x:v>
      </x:c>
      <x:c r="B22" s="22" t="str">
        <x:v>Application Alignment and Qualifications</x:v>
      </x:c>
      <x:c r="C22" s="38" t="n">
        <x:v>20</x:v>
      </x:c>
      <x:c r="D22" s="38" t="str">
        <x:v>Target-role alignment</x:v>
      </x:c>
      <x:c r="E22" s="50" t="n">
        <x:v>2</x:v>
      </x:c>
      <x:c r="F22" s="38" t="n">
        <x:v>2</x:v>
      </x:c>
      <x:c r="G22" s="38" t="n">
        <x:v>2</x:v>
      </x:c>
      <x:c r="H22" s="38" t="n">
        <x:v>1</x:v>
      </x:c>
      <x:c r="I22" s="22" t="str">
        <x:v>Product judgment</x:v>
      </x:c>
      <x:c r="J22" s="22" t="str">
        <x:v>A separate professional summary is not mandatory if the target is otherwise clear.</x:v>
      </x:c>
    </x:row>
    <x:row r="23" ht="48" customHeight="1">
      <x:c r="A23" s="36" t="str">
        <x:v>Software Engineering</x:v>
      </x:c>
      <x:c r="B23" s="36" t="str">
        <x:v>Application Alignment and Qualifications</x:v>
      </x:c>
      <x:c r="C23" s="39" t="n">
        <x:v>20</x:v>
      </x:c>
      <x:c r="D23" s="39" t="str">
        <x:v>Specificity of skills and claims</x:v>
      </x:c>
      <x:c r="E23" s="54" t="n">
        <x:v>3</x:v>
      </x:c>
      <x:c r="F23" s="39" t="n">
        <x:v>3</x:v>
      </x:c>
      <x:c r="G23" s="39" t="n">
        <x:v>2</x:v>
      </x:c>
      <x:c r="H23" s="39" t="n">
        <x:v>1</x:v>
      </x:c>
      <x:c r="I23" s="36" t="str">
        <x:v>Pending candidate testing</x:v>
      </x:c>
      <x:c r="J23" s="36" t="str">
        <x:v>Named skills and contextual claims score above generic phrases.</x:v>
      </x:c>
    </x:row>
    <x:row r="24" ht="48" customHeight="1">
      <x:c r="A24" s="22" t="str">
        <x:v>Software Engineering</x:v>
      </x:c>
      <x:c r="B24" s="22" t="str">
        <x:v>Application Alignment and Qualifications</x:v>
      </x:c>
      <x:c r="C24" s="38" t="n">
        <x:v>20</x:v>
      </x:c>
      <x:c r="D24" s="38" t="str">
        <x:v>Evidence and outcomes in descriptions</x:v>
      </x:c>
      <x:c r="E24" s="50" t="n">
        <x:v>3</x:v>
      </x:c>
      <x:c r="F24" s="38" t="n">
        <x:v>3</x:v>
      </x:c>
      <x:c r="G24" s="38" t="n">
        <x:v>2</x:v>
      </x:c>
      <x:c r="H24" s="38" t="n">
        <x:v>1</x:v>
      </x:c>
      <x:c r="I24" s="22" t="str">
        <x:v>Pending candidate testing</x:v>
      </x:c>
      <x:c r="J24" s="22" t="str">
        <x:v>Credit concrete actions, scope, outputs, or outcomes; do not require invented metrics.</x:v>
      </x:c>
    </x:row>
    <x:row r="25" ht="48" customHeight="1">
      <x:c r="A25" s="36" t="str">
        <x:v>Software Engineering</x:v>
      </x:c>
      <x:c r="B25" s="36" t="str">
        <x:v>Application Alignment and Qualifications</x:v>
      </x:c>
      <x:c r="C25" s="39" t="n">
        <x:v>20</x:v>
      </x:c>
      <x:c r="D25" s="39" t="str">
        <x:v>Structure and readability</x:v>
      </x:c>
      <x:c r="E25" s="54" t="n">
        <x:v>2</x:v>
      </x:c>
      <x:c r="F25" s="39" t="n">
        <x:v>2</x:v>
      </x:c>
      <x:c r="G25" s="39" t="n">
        <x:v>2</x:v>
      </x:c>
      <x:c r="H25" s="39" t="n">
        <x:v>1</x:v>
      </x:c>
      <x:c r="I25" s="36" t="str">
        <x:v>Product judgment</x:v>
      </x:c>
      <x:c r="J25" s="36" t="str">
        <x:v>Assess readability only. Do not penalise unexplained employment gaps or harmless visual preferences.</x:v>
      </x:c>
    </x:row>
    <x:row r="26" ht="48" customHeight="1">
      <x:c r="A26" s="22" t="str">
        <x:v>Software Engineering</x:v>
      </x:c>
      <x:c r="B26" s="22" t="str">
        <x:v>Work Readiness Signals</x:v>
      </x:c>
      <x:c r="C26" s="38" t="n">
        <x:v>10</x:v>
      </x:c>
      <x:c r="D26" s="38" t="str">
        <x:v>Communication or documentation</x:v>
      </x:c>
      <x:c r="E26" s="50" t="n">
        <x:v>2</x:v>
      </x:c>
      <x:c r="F26" s="38" t="n">
        <x:v>2</x:v>
      </x:c>
      <x:c r="G26" s="38" t="n">
        <x:v>1</x:v>
      </x:c>
      <x:c r="H26" s="38" t="n">
        <x:v>0</x:v>
      </x:c>
      <x:c r="I26" s="22" t="str">
        <x:v>Market-supported</x:v>
      </x:c>
      <x:c r="J26" s="22" t="str">
        <x:v>Unsupported labels such as 'team player' or 'good communicator' earn zero.</x:v>
      </x:c>
    </x:row>
    <x:row r="27" ht="48" customHeight="1">
      <x:c r="A27" s="36" t="str">
        <x:v>Software Engineering</x:v>
      </x:c>
      <x:c r="B27" s="36" t="str">
        <x:v>Work Readiness Signals</x:v>
      </x:c>
      <x:c r="C27" s="39" t="n">
        <x:v>10</x:v>
      </x:c>
      <x:c r="D27" s="39" t="str">
        <x:v>Collaboration or teamwork</x:v>
      </x:c>
      <x:c r="E27" s="54" t="n">
        <x:v>2</x:v>
      </x:c>
      <x:c r="F27" s="39" t="n">
        <x:v>2</x:v>
      </x:c>
      <x:c r="G27" s="39" t="n">
        <x:v>1</x:v>
      </x:c>
      <x:c r="H27" s="39" t="n">
        <x:v>0</x:v>
      </x:c>
      <x:c r="I27" s="36" t="str">
        <x:v>Market-supported</x:v>
      </x:c>
      <x:c r="J27" s="36" t="str">
        <x:v>Unsupported labels such as 'team player' or 'good communicator' earn zero.</x:v>
      </x:c>
    </x:row>
    <x:row r="28" ht="48" customHeight="1">
      <x:c r="A28" s="22" t="str">
        <x:v>Software Engineering</x:v>
      </x:c>
      <x:c r="B28" s="22" t="str">
        <x:v>Work Readiness Signals</x:v>
      </x:c>
      <x:c r="C28" s="38" t="n">
        <x:v>10</x:v>
      </x:c>
      <x:c r="D28" s="38" t="str">
        <x:v>Professional exposure or responsibility</x:v>
      </x:c>
      <x:c r="E28" s="50" t="n">
        <x:v>2</x:v>
      </x:c>
      <x:c r="F28" s="38" t="n">
        <x:v>2</x:v>
      </x:c>
      <x:c r="G28" s="38" t="n">
        <x:v>1</x:v>
      </x:c>
      <x:c r="H28" s="38" t="n">
        <x:v>0</x:v>
      </x:c>
      <x:c r="I28" s="22" t="str">
        <x:v>Partially market-supported</x:v>
      </x:c>
      <x:c r="J28" s="22" t="str">
        <x:v>Unsupported labels such as 'team player' or 'good communicator' earn zero.</x:v>
      </x:c>
    </x:row>
    <x:row r="29" ht="48" customHeight="1">
      <x:c r="A29" s="36" t="str">
        <x:v>Software Engineering</x:v>
      </x:c>
      <x:c r="B29" s="36" t="str">
        <x:v>Work Readiness Signals</x:v>
      </x:c>
      <x:c r="C29" s="39" t="n">
        <x:v>10</x:v>
      </x:c>
      <x:c r="D29" s="39" t="str">
        <x:v>Initiative and continued learning</x:v>
      </x:c>
      <x:c r="E29" s="54" t="n">
        <x:v>2</x:v>
      </x:c>
      <x:c r="F29" s="39" t="n">
        <x:v>2</x:v>
      </x:c>
      <x:c r="G29" s="39" t="n">
        <x:v>1</x:v>
      </x:c>
      <x:c r="H29" s="39" t="n">
        <x:v>0</x:v>
      </x:c>
      <x:c r="I29" s="36" t="str">
        <x:v>Partially market-supported</x:v>
      </x:c>
      <x:c r="J29" s="36" t="str">
        <x:v>Unsupported labels such as 'team player' or 'good communicator' earn zero.</x:v>
      </x:c>
    </x:row>
    <x:row r="30" ht="48" customHeight="1">
      <x:c r="A30" s="22" t="str">
        <x:v>Software Engineering</x:v>
      </x:c>
      <x:c r="B30" s="22" t="str">
        <x:v>Work Readiness Signals</x:v>
      </x:c>
      <x:c r="C30" s="38" t="n">
        <x:v>10</x:v>
      </x:c>
      <x:c r="D30" s="38" t="str">
        <x:v>Self-management or applied problem-solving</x:v>
      </x:c>
      <x:c r="E30" s="50" t="n">
        <x:v>2</x:v>
      </x:c>
      <x:c r="F30" s="38" t="n">
        <x:v>2</x:v>
      </x:c>
      <x:c r="G30" s="38" t="n">
        <x:v>1</x:v>
      </x:c>
      <x:c r="H30" s="38" t="n">
        <x:v>0</x:v>
      </x:c>
      <x:c r="I30" s="22" t="str">
        <x:v>Market-supported</x:v>
      </x:c>
      <x:c r="J30" s="22" t="str">
        <x:v>Unsupported labels such as 'team player' or 'good communicator' earn zero.</x:v>
      </x:c>
    </x:row>
    <x:row r="31" ht="48" customHeight="1">
      <x:c r="A31" s="36" t="str">
        <x:v>Data Analytics</x:v>
      </x:c>
      <x:c r="B31" s="36" t="str">
        <x:v>Core Role Skills</x:v>
      </x:c>
      <x:c r="C31" s="39" t="n">
        <x:v>40</x:v>
      </x:c>
      <x:c r="D31" s="39" t="str">
        <x:v>SQL competency</x:v>
      </x:c>
      <x:c r="E31" s="54" t="n">
        <x:v>15</x:v>
      </x:c>
      <x:c r="F31" s="39" t="n">
        <x:v>15</x:v>
      </x:c>
      <x:c r="G31" s="39" t="n">
        <x:v>11</x:v>
      </x:c>
      <x:c r="H31" s="39" t="n">
        <x:v>5</x:v>
      </x:c>
      <x:c r="I31" s="36" t="str">
        <x:v>Market-supported</x:v>
      </x:c>
      <x:c r="J31" s="36" t="str">
        <x:v>Look for querying, filtering, joins, aggregation, or database work. Missing SQL triggers the overall cap of 79.</x:v>
      </x:c>
    </x:row>
    <x:row r="32" ht="48" customHeight="1">
      <x:c r="A32" s="22" t="str">
        <x:v>Data Analytics</x:v>
      </x:c>
      <x:c r="B32" s="22" t="str">
        <x:v>Core Role Skills</x:v>
      </x:c>
      <x:c r="C32" s="38" t="n">
        <x:v>40</x:v>
      </x:c>
      <x:c r="D32" s="38" t="str">
        <x:v>Spreadsheet analysis</x:v>
      </x:c>
      <x:c r="E32" s="50" t="n">
        <x:v>8</x:v>
      </x:c>
      <x:c r="F32" s="38" t="n">
        <x:v>8</x:v>
      </x:c>
      <x:c r="G32" s="38" t="n">
        <x:v>6</x:v>
      </x:c>
      <x:c r="H32" s="38" t="n">
        <x:v>3</x:v>
      </x:c>
      <x:c r="I32" s="22" t="str">
        <x:v>Partially market-supported</x:v>
      </x:c>
      <x:c r="J32" s="22" t="str">
        <x:v>Advanced Excel use includes formulas, pivots, lookups, dashboards, Power Query, cleaning, or analysis. Demonstrated Google Sheets may earn up to 5 without Excel evidence.</x:v>
      </x:c>
    </x:row>
    <x:row r="33" ht="48" customHeight="1">
      <x:c r="A33" s="36" t="str">
        <x:v>Data Analytics</x:v>
      </x:c>
      <x:c r="B33" s="36" t="str">
        <x:v>Core Role Skills</x:v>
      </x:c>
      <x:c r="C33" s="39" t="n">
        <x:v>40</x:v>
      </x:c>
      <x:c r="D33" s="39" t="str">
        <x:v>Analysis, interpretation, and statistics</x:v>
      </x:c>
      <x:c r="E33" s="54" t="n">
        <x:v>7</x:v>
      </x:c>
      <x:c r="F33" s="39" t="n">
        <x:v>7</x:v>
      </x:c>
      <x:c r="G33" s="39" t="n">
        <x:v>5</x:v>
      </x:c>
      <x:c r="H33" s="39" t="n">
        <x:v>2</x:v>
      </x:c>
      <x:c r="I33" s="36" t="str">
        <x:v>Market-supported</x:v>
      </x:c>
      <x:c r="J33" s="36" t="str">
        <x:v>Credit evidence of finding patterns, applying statistics, drawing conclusions, or making recommendations.</x:v>
      </x:c>
    </x:row>
    <x:row r="34" ht="48" customHeight="1">
      <x:c r="A34" s="22" t="str">
        <x:v>Data Analytics</x:v>
      </x:c>
      <x:c r="B34" s="22" t="str">
        <x:v>Core Role Skills</x:v>
      </x:c>
      <x:c r="C34" s="38" t="n">
        <x:v>40</x:v>
      </x:c>
      <x:c r="D34" s="38" t="str">
        <x:v>Data cleaning and preparation</x:v>
      </x:c>
      <x:c r="E34" s="50" t="n">
        <x:v>5</x:v>
      </x:c>
      <x:c r="F34" s="38" t="n">
        <x:v>5</x:v>
      </x:c>
      <x:c r="G34" s="38" t="n">
        <x:v>3</x:v>
      </x:c>
      <x:c r="H34" s="38" t="n">
        <x:v>1</x:v>
      </x:c>
      <x:c r="I34" s="22" t="str">
        <x:v>Pending candidate testing</x:v>
      </x:c>
      <x:c r="J34" s="22" t="str">
        <x:v>Retained without a hard cap because structured job-post evidence was insufficient, not disproving.</x:v>
      </x:c>
    </x:row>
    <x:row r="35" ht="48" customHeight="1">
      <x:c r="A35" s="36" t="str">
        <x:v>Data Analytics</x:v>
      </x:c>
      <x:c r="B35" s="36" t="str">
        <x:v>Core Role Skills</x:v>
      </x:c>
      <x:c r="C35" s="39" t="n">
        <x:v>40</x:v>
      </x:c>
      <x:c r="D35" s="39" t="str">
        <x:v>Reporting and communication of findings</x:v>
      </x:c>
      <x:c r="E35" s="54" t="n">
        <x:v>5</x:v>
      </x:c>
      <x:c r="F35" s="39" t="n">
        <x:v>5</x:v>
      </x:c>
      <x:c r="G35" s="39" t="n">
        <x:v>3</x:v>
      </x:c>
      <x:c r="H35" s="39" t="n">
        <x:v>1</x:v>
      </x:c>
      <x:c r="I35" s="36" t="str">
        <x:v>Partially market-supported</x:v>
      </x:c>
      <x:c r="J35" s="36" t="str">
        <x:v>Look for reports, presentations, dashboards, summaries, or recommendations intended for others.</x:v>
      </x:c>
    </x:row>
    <x:row r="36" ht="48" customHeight="1">
      <x:c r="A36" s="22" t="str">
        <x:v>Data Analytics</x:v>
      </x:c>
      <x:c r="B36" s="22" t="str">
        <x:v>Tools and Platforms</x:v>
      </x:c>
      <x:c r="C36" s="38" t="n">
        <x:v>25</x:v>
      </x:c>
      <x:c r="D36" s="38" t="str">
        <x:v>BI and visualisation capability</x:v>
      </x:c>
      <x:c r="E36" s="50" t="n">
        <x:v>9</x:v>
      </x:c>
      <x:c r="F36" s="38" t="n">
        <x:v>9</x:v>
      </x:c>
      <x:c r="G36" s="38" t="n">
        <x:v>7</x:v>
      </x:c>
      <x:c r="H36" s="38" t="n">
        <x:v>3</x:v>
      </x:c>
      <x:c r="I36" s="22" t="str">
        <x:v>Market-supported</x:v>
      </x:c>
      <x:c r="J36" s="22" t="str">
        <x:v>Power BI, Tableau, Looker Studio, or a comparable tool may demonstrate the competency.</x:v>
      </x:c>
    </x:row>
    <x:row r="37" ht="48" customHeight="1">
      <x:c r="A37" s="36" t="str">
        <x:v>Data Analytics</x:v>
      </x:c>
      <x:c r="B37" s="36" t="str">
        <x:v>Tools and Platforms</x:v>
      </x:c>
      <x:c r="C37" s="39" t="n">
        <x:v>25</x:v>
      </x:c>
      <x:c r="D37" s="39" t="str">
        <x:v>Power BI market-alignment point</x:v>
      </x:c>
      <x:c r="E37" s="54" t="n">
        <x:v>1</x:v>
      </x:c>
      <x:c r="F37" s="39" t="n">
        <x:v>1</x:v>
      </x:c>
      <x:c r="G37" s="39" t="n">
        <x:v>1</x:v>
      </x:c>
      <x:c r="H37" s="39" t="n">
        <x:v>1</x:v>
      </x:c>
      <x:c r="I37" s="36" t="str">
        <x:v>Market-supported</x:v>
      </x:c>
      <x:c r="J37" s="36" t="str">
        <x:v>Award when Power BI is explicitly evidenced; Power BI appeared in 13 of 16 retained DA posts.</x:v>
      </x:c>
    </x:row>
    <x:row r="38" ht="48" customHeight="1">
      <x:c r="A38" s="22" t="str">
        <x:v>Data Analytics</x:v>
      </x:c>
      <x:c r="B38" s="22" t="str">
        <x:v>Tools and Platforms</x:v>
      </x:c>
      <x:c r="C38" s="38" t="n">
        <x:v>25</x:v>
      </x:c>
      <x:c r="D38" s="38" t="str">
        <x:v>Python, R, and relevant libraries</x:v>
      </x:c>
      <x:c r="E38" s="50" t="n">
        <x:v>6</x:v>
      </x:c>
      <x:c r="F38" s="38" t="n">
        <x:v>6</x:v>
      </x:c>
      <x:c r="G38" s="38" t="n">
        <x:v>4</x:v>
      </x:c>
      <x:c r="H38" s="38" t="n">
        <x:v>2</x:v>
      </x:c>
      <x:c r="I38" s="22" t="str">
        <x:v>Market-supported</x:v>
      </x:c>
      <x:c r="J38" s="22" t="str">
        <x:v>Python is a strong secondary skill, not a gate. R may earn comparable analytical-programming credit.</x:v>
      </x:c>
    </x:row>
    <x:row r="39" ht="48" customHeight="1">
      <x:c r="A39" s="36" t="str">
        <x:v>Data Analytics</x:v>
      </x:c>
      <x:c r="B39" s="36" t="str">
        <x:v>Tools and Platforms</x:v>
      </x:c>
      <x:c r="C39" s="39" t="n">
        <x:v>25</x:v>
      </x:c>
      <x:c r="D39" s="39" t="str">
        <x:v>Database or data environment</x:v>
      </x:c>
      <x:c r="E39" s="54" t="n">
        <x:v>4</x:v>
      </x:c>
      <x:c r="F39" s="39" t="n">
        <x:v>4</x:v>
      </x:c>
      <x:c r="G39" s="39" t="n">
        <x:v>3</x:v>
      </x:c>
      <x:c r="H39" s="39" t="n">
        <x:v>1</x:v>
      </x:c>
      <x:c r="I39" s="36" t="str">
        <x:v>Market-supported</x:v>
      </x:c>
      <x:c r="J39" s="36" t="str">
        <x:v>Examples include SQL Server, PostgreSQL, MySQL, BigQuery, or another named data environment.</x:v>
      </x:c>
    </x:row>
    <x:row r="40" ht="48" customHeight="1">
      <x:c r="A40" s="22" t="str">
        <x:v>Data Analytics</x:v>
      </x:c>
      <x:c r="B40" s="22" t="str">
        <x:v>Tools and Platforms</x:v>
      </x:c>
      <x:c r="C40" s="38" t="n">
        <x:v>25</x:v>
      </x:c>
      <x:c r="D40" s="38" t="str">
        <x:v>Transformation, platform, or cloud tools</x:v>
      </x:c>
      <x:c r="E40" s="50" t="n">
        <x:v>3</x:v>
      </x:c>
      <x:c r="F40" s="38" t="n">
        <x:v>3</x:v>
      </x:c>
      <x:c r="G40" s="38" t="n">
        <x:v>2</x:v>
      </x:c>
      <x:c r="H40" s="38" t="n">
        <x:v>1</x:v>
      </x:c>
      <x:c r="I40" s="22" t="str">
        <x:v>Partially market-supported</x:v>
      </x:c>
      <x:c r="J40" s="22" t="str">
        <x:v>Examples include Power Query, Fabric, Azure, BigQuery, or related data tooling.</x:v>
      </x:c>
    </x:row>
    <x:row r="41" ht="48" customHeight="1">
      <x:c r="A41" s="36" t="str">
        <x:v>Data Analytics</x:v>
      </x:c>
      <x:c r="B41" s="36" t="str">
        <x:v>Tools and Platforms</x:v>
      </x:c>
      <x:c r="C41" s="39" t="n">
        <x:v>25</x:v>
      </x:c>
      <x:c r="D41" s="39" t="str">
        <x:v>Tool breadth and integration</x:v>
      </x:c>
      <x:c r="E41" s="54" t="n">
        <x:v>2</x:v>
      </x:c>
      <x:c r="F41" s="39" t="n">
        <x:v>2</x:v>
      </x:c>
      <x:c r="G41" s="39" t="n">
        <x:v>1</x:v>
      </x:c>
      <x:c r="H41" s="39" t="n">
        <x:v>1</x:v>
      </x:c>
      <x:c r="I41" s="36" t="str">
        <x:v>Product judgment</x:v>
      </x:c>
      <x:c r="J41" s="36" t="str">
        <x:v>Award for a coherent multi-tool workflow, not for repeating a long tool list.</x:v>
      </x:c>
    </x:row>
    <x:row r="42" ht="48" customHeight="1">
      <x:c r="A42" s="22" t="str">
        <x:v>Data Analytics</x:v>
      </x:c>
      <x:c r="B42" s="22" t="str">
        <x:v>Applied Project Evidence</x:v>
      </x:c>
      <x:c r="C42" s="38" t="n">
        <x:v>10</x:v>
      </x:c>
      <x:c r="D42" s="38" t="str">
        <x:v>Proof and accessibility</x:v>
      </x:c>
      <x:c r="E42" s="50" t="n">
        <x:v>2</x:v>
      </x:c>
      <x:c r="F42" s="38" t="n">
        <x:v>2</x:v>
      </x:c>
      <x:c r="G42" s="38" t="n">
        <x:v>1</x:v>
      </x:c>
      <x:c r="H42" s="38" t="n">
        <x:v>0</x:v>
      </x:c>
      <x:c r="I42" s="22" t="str">
        <x:v>Partially market-supported</x:v>
      </x:c>
      <x:c r="J42" s="22" t="str">
        <x:v>Without an accessible submitted project link, this category is capped at 6 of 10. A context-free dashboard screenshot cannot earn full credit.</x:v>
      </x:c>
    </x:row>
    <x:row r="43" ht="48" customHeight="1">
      <x:c r="A43" s="36" t="str">
        <x:v>Data Analytics</x:v>
      </x:c>
      <x:c r="B43" s="36" t="str">
        <x:v>Applied Project Evidence</x:v>
      </x:c>
      <x:c r="C43" s="39" t="n">
        <x:v>10</x:v>
      </x:c>
      <x:c r="D43" s="39" t="str">
        <x:v>Question, dataset, or business context</x:v>
      </x:c>
      <x:c r="E43" s="54" t="n">
        <x:v>2</x:v>
      </x:c>
      <x:c r="F43" s="39" t="n">
        <x:v>2</x:v>
      </x:c>
      <x:c r="G43" s="39" t="n">
        <x:v>1</x:v>
      </x:c>
      <x:c r="H43" s="39" t="n">
        <x:v>0</x:v>
      </x:c>
      <x:c r="I43" s="36" t="str">
        <x:v>Product judgment</x:v>
      </x:c>
      <x:c r="J43" s="36" t="str">
        <x:v>Without an accessible submitted project link, this category is capped at 6 of 10. A context-free dashboard screenshot cannot earn full credit.</x:v>
      </x:c>
    </x:row>
    <x:row r="44" ht="48" customHeight="1">
      <x:c r="A44" s="22" t="str">
        <x:v>Data Analytics</x:v>
      </x:c>
      <x:c r="B44" s="22" t="str">
        <x:v>Applied Project Evidence</x:v>
      </x:c>
      <x:c r="C44" s="38" t="n">
        <x:v>10</x:v>
      </x:c>
      <x:c r="D44" s="38" t="str">
        <x:v>Cleaning, exploration, and analysis process</x:v>
      </x:c>
      <x:c r="E44" s="50" t="n">
        <x:v>2</x:v>
      </x:c>
      <x:c r="F44" s="38" t="n">
        <x:v>2</x:v>
      </x:c>
      <x:c r="G44" s="38" t="n">
        <x:v>1</x:v>
      </x:c>
      <x:c r="H44" s="38" t="n">
        <x:v>0</x:v>
      </x:c>
      <x:c r="I44" s="22" t="str">
        <x:v>Pending candidate testing</x:v>
      </x:c>
      <x:c r="J44" s="22" t="str">
        <x:v>Without an accessible submitted project link, this category is capped at 6 of 10. A context-free dashboard screenshot cannot earn full credit.</x:v>
      </x:c>
    </x:row>
    <x:row r="45" ht="48" customHeight="1">
      <x:c r="A45" s="36" t="str">
        <x:v>Data Analytics</x:v>
      </x:c>
      <x:c r="B45" s="36" t="str">
        <x:v>Applied Project Evidence</x:v>
      </x:c>
      <x:c r="C45" s="39" t="n">
        <x:v>10</x:v>
      </x:c>
      <x:c r="D45" s="39" t="str">
        <x:v>Findings and visual communication</x:v>
      </x:c>
      <x:c r="E45" s="54" t="n">
        <x:v>2</x:v>
      </x:c>
      <x:c r="F45" s="39" t="n">
        <x:v>2</x:v>
      </x:c>
      <x:c r="G45" s="39" t="n">
        <x:v>1</x:v>
      </x:c>
      <x:c r="H45" s="39" t="n">
        <x:v>0</x:v>
      </x:c>
      <x:c r="I45" s="36" t="str">
        <x:v>Product judgment</x:v>
      </x:c>
      <x:c r="J45" s="36" t="str">
        <x:v>Without an accessible submitted project link, this category is capped at 6 of 10. A context-free dashboard screenshot cannot earn full credit.</x:v>
      </x:c>
    </x:row>
    <x:row r="46" ht="48" customHeight="1">
      <x:c r="A46" s="22" t="str">
        <x:v>Data Analytics</x:v>
      </x:c>
      <x:c r="B46" s="22" t="str">
        <x:v>Applied Project Evidence</x:v>
      </x:c>
      <x:c r="C46" s="38" t="n">
        <x:v>10</x:v>
      </x:c>
      <x:c r="D46" s="38" t="str">
        <x:v>Reproducibility and presentation</x:v>
      </x:c>
      <x:c r="E46" s="50" t="n">
        <x:v>2</x:v>
      </x:c>
      <x:c r="F46" s="38" t="n">
        <x:v>2</x:v>
      </x:c>
      <x:c r="G46" s="38" t="n">
        <x:v>1</x:v>
      </x:c>
      <x:c r="H46" s="38" t="n">
        <x:v>0</x:v>
      </x:c>
      <x:c r="I46" s="22" t="str">
        <x:v>Pending candidate testing</x:v>
      </x:c>
      <x:c r="J46" s="22" t="str">
        <x:v>Without an accessible submitted project link, this category is capped at 6 of 10. A context-free dashboard screenshot cannot earn full credit.</x:v>
      </x:c>
    </x:row>
    <x:row r="47" ht="48" customHeight="1">
      <x:c r="A47" s="36" t="str">
        <x:v>Data Analytics</x:v>
      </x:c>
      <x:c r="B47" s="36" t="str">
        <x:v>Application Alignment and Qualifications</x:v>
      </x:c>
      <x:c r="C47" s="39" t="n">
        <x:v>15</x:v>
      </x:c>
      <x:c r="D47" s="39" t="str">
        <x:v>Qualification and market-access evidence</x:v>
      </x:c>
      <x:c r="E47" s="54" t="n">
        <x:v>7</x:v>
      </x:c>
      <x:c r="F47" s="39" t="str">
        <x:v>See qualification table</x:v>
      </x:c>
      <x:c r="G47" s="39" t="str">
        <x:v>See qualification table</x:v>
      </x:c>
      <x:c r="H47" s="39" t="n">
        <x:v>0</x:v>
      </x:c>
      <x:c r="I47" s="36" t="str">
        <x:v>Market-supported</x:v>
      </x:c>
      <x:c r="J47" s="36" t="str">
        <x:v>Use the dedicated Data Analytics qualification table; qualifications do not prove analytical ability and create no overall cap.</x:v>
      </x:c>
    </x:row>
    <x:row r="48" ht="48" customHeight="1">
      <x:c r="A48" s="22" t="str">
        <x:v>Data Analytics</x:v>
      </x:c>
      <x:c r="B48" s="22" t="str">
        <x:v>Application Alignment and Qualifications</x:v>
      </x:c>
      <x:c r="C48" s="38" t="n">
        <x:v>15</x:v>
      </x:c>
      <x:c r="D48" s="38" t="str">
        <x:v>Target-role alignment</x:v>
      </x:c>
      <x:c r="E48" s="50" t="n">
        <x:v>2</x:v>
      </x:c>
      <x:c r="F48" s="38" t="n">
        <x:v>2</x:v>
      </x:c>
      <x:c r="G48" s="38" t="n">
        <x:v>2</x:v>
      </x:c>
      <x:c r="H48" s="38" t="n">
        <x:v>1</x:v>
      </x:c>
      <x:c r="I48" s="22" t="str">
        <x:v>Product judgment</x:v>
      </x:c>
      <x:c r="J48" s="22" t="str"/>
    </x:row>
    <x:row r="49" ht="48" customHeight="1">
      <x:c r="A49" s="36" t="str">
        <x:v>Data Analytics</x:v>
      </x:c>
      <x:c r="B49" s="36" t="str">
        <x:v>Application Alignment and Qualifications</x:v>
      </x:c>
      <x:c r="C49" s="39" t="n">
        <x:v>15</x:v>
      </x:c>
      <x:c r="D49" s="39" t="str">
        <x:v>Specificity of tools and analytical claims</x:v>
      </x:c>
      <x:c r="E49" s="54" t="n">
        <x:v>2</x:v>
      </x:c>
      <x:c r="F49" s="39" t="n">
        <x:v>2</x:v>
      </x:c>
      <x:c r="G49" s="39" t="n">
        <x:v>1</x:v>
      </x:c>
      <x:c r="H49" s="39" t="n">
        <x:v>1</x:v>
      </x:c>
      <x:c r="I49" s="36" t="str">
        <x:v>Pending candidate testing</x:v>
      </x:c>
      <x:c r="J49" s="36" t="str"/>
    </x:row>
    <x:row r="50" ht="48" customHeight="1">
      <x:c r="A50" s="22" t="str">
        <x:v>Data Analytics</x:v>
      </x:c>
      <x:c r="B50" s="22" t="str">
        <x:v>Application Alignment and Qualifications</x:v>
      </x:c>
      <x:c r="C50" s="38" t="n">
        <x:v>15</x:v>
      </x:c>
      <x:c r="D50" s="38" t="str">
        <x:v>Evidence and outcomes in descriptions</x:v>
      </x:c>
      <x:c r="E50" s="50" t="n">
        <x:v>2</x:v>
      </x:c>
      <x:c r="F50" s="38" t="n">
        <x:v>2</x:v>
      </x:c>
      <x:c r="G50" s="38" t="n">
        <x:v>1</x:v>
      </x:c>
      <x:c r="H50" s="38" t="n">
        <x:v>1</x:v>
      </x:c>
      <x:c r="I50" s="22" t="str">
        <x:v>Pending candidate testing</x:v>
      </x:c>
      <x:c r="J50" s="22" t="str"/>
    </x:row>
    <x:row r="51" ht="48" customHeight="1">
      <x:c r="A51" s="36" t="str">
        <x:v>Data Analytics</x:v>
      </x:c>
      <x:c r="B51" s="36" t="str">
        <x:v>Application Alignment and Qualifications</x:v>
      </x:c>
      <x:c r="C51" s="39" t="n">
        <x:v>15</x:v>
      </x:c>
      <x:c r="D51" s="39" t="str">
        <x:v>Structure and readability</x:v>
      </x:c>
      <x:c r="E51" s="54" t="n">
        <x:v>2</x:v>
      </x:c>
      <x:c r="F51" s="39" t="n">
        <x:v>2</x:v>
      </x:c>
      <x:c r="G51" s="39" t="n">
        <x:v>2</x:v>
      </x:c>
      <x:c r="H51" s="39" t="n">
        <x:v>1</x:v>
      </x:c>
      <x:c r="I51" s="36" t="str">
        <x:v>Product judgment</x:v>
      </x:c>
      <x:c r="J51" s="36" t="str">
        <x:v>Assess readability only. Do not penalise unexplained employment gaps or harmless visual preferences.</x:v>
      </x:c>
    </x:row>
    <x:row r="52" ht="48" customHeight="1">
      <x:c r="A52" s="22" t="str">
        <x:v>Data Analytics</x:v>
      </x:c>
      <x:c r="B52" s="22" t="str">
        <x:v>Work Readiness Signals</x:v>
      </x:c>
      <x:c r="C52" s="38" t="n">
        <x:v>10</x:v>
      </x:c>
      <x:c r="D52" s="38" t="str">
        <x:v>Applied problem-solving</x:v>
      </x:c>
      <x:c r="E52" s="50" t="n">
        <x:v>2</x:v>
      </x:c>
      <x:c r="F52" s="38" t="n">
        <x:v>2</x:v>
      </x:c>
      <x:c r="G52" s="38" t="n">
        <x:v>1</x:v>
      </x:c>
      <x:c r="H52" s="38" t="n">
        <x:v>0</x:v>
      </x:c>
      <x:c r="I52" s="22" t="str">
        <x:v>Market-supported</x:v>
      </x:c>
      <x:c r="J52" s="22" t="str">
        <x:v>Unsupported labels such as 'analytical thinker' or 'team player' earn zero.</x:v>
      </x:c>
    </x:row>
    <x:row r="53" ht="48" customHeight="1">
      <x:c r="A53" s="36" t="str">
        <x:v>Data Analytics</x:v>
      </x:c>
      <x:c r="B53" s="36" t="str">
        <x:v>Work Readiness Signals</x:v>
      </x:c>
      <x:c r="C53" s="39" t="n">
        <x:v>10</x:v>
      </x:c>
      <x:c r="D53" s="39" t="str">
        <x:v>Attention to detail</x:v>
      </x:c>
      <x:c r="E53" s="54" t="n">
        <x:v>2</x:v>
      </x:c>
      <x:c r="F53" s="39" t="n">
        <x:v>2</x:v>
      </x:c>
      <x:c r="G53" s="39" t="n">
        <x:v>1</x:v>
      </x:c>
      <x:c r="H53" s="39" t="n">
        <x:v>0</x:v>
      </x:c>
      <x:c r="I53" s="36" t="str">
        <x:v>Market-supported</x:v>
      </x:c>
      <x:c r="J53" s="36" t="str">
        <x:v>Unsupported labels such as 'analytical thinker' or 'team player' earn zero.</x:v>
      </x:c>
    </x:row>
    <x:row r="54" ht="48" customHeight="1">
      <x:c r="A54" s="22" t="str">
        <x:v>Data Analytics</x:v>
      </x:c>
      <x:c r="B54" s="22" t="str">
        <x:v>Work Readiness Signals</x:v>
      </x:c>
      <x:c r="C54" s="38" t="n">
        <x:v>10</x:v>
      </x:c>
      <x:c r="D54" s="38" t="str">
        <x:v>Collaboration</x:v>
      </x:c>
      <x:c r="E54" s="50" t="n">
        <x:v>2</x:v>
      </x:c>
      <x:c r="F54" s="38" t="n">
        <x:v>2</x:v>
      </x:c>
      <x:c r="G54" s="38" t="n">
        <x:v>1</x:v>
      </x:c>
      <x:c r="H54" s="38" t="n">
        <x:v>0</x:v>
      </x:c>
      <x:c r="I54" s="22" t="str">
        <x:v>Market-supported</x:v>
      </x:c>
      <x:c r="J54" s="22" t="str">
        <x:v>Unsupported labels such as 'analytical thinker' or 'team player' earn zero.</x:v>
      </x:c>
    </x:row>
    <x:row r="55" ht="48" customHeight="1">
      <x:c r="A55" s="36" t="str">
        <x:v>Data Analytics</x:v>
      </x:c>
      <x:c r="B55" s="36" t="str">
        <x:v>Work Readiness Signals</x:v>
      </x:c>
      <x:c r="C55" s="39" t="n">
        <x:v>10</x:v>
      </x:c>
      <x:c r="D55" s="39" t="str">
        <x:v>Communication or stakeholder interaction</x:v>
      </x:c>
      <x:c r="E55" s="54" t="n">
        <x:v>2</x:v>
      </x:c>
      <x:c r="F55" s="39" t="n">
        <x:v>2</x:v>
      </x:c>
      <x:c r="G55" s="39" t="n">
        <x:v>1</x:v>
      </x:c>
      <x:c r="H55" s="39" t="n">
        <x:v>0</x:v>
      </x:c>
      <x:c r="I55" s="36" t="str">
        <x:v>Partially market-supported</x:v>
      </x:c>
      <x:c r="J55" s="36" t="str">
        <x:v>Unsupported labels such as 'analytical thinker' or 'team player' earn zero.</x:v>
      </x:c>
    </x:row>
    <x:row r="56" ht="48" customHeight="1">
      <x:c r="A56" s="22" t="str">
        <x:v>Data Analytics</x:v>
      </x:c>
      <x:c r="B56" s="22" t="str">
        <x:v>Work Readiness Signals</x:v>
      </x:c>
      <x:c r="C56" s="38" t="n">
        <x:v>10</x:v>
      </x:c>
      <x:c r="D56" s="38" t="str">
        <x:v>Self-management and responsibility</x:v>
      </x:c>
      <x:c r="E56" s="50" t="n">
        <x:v>2</x:v>
      </x:c>
      <x:c r="F56" s="38" t="n">
        <x:v>2</x:v>
      </x:c>
      <x:c r="G56" s="38" t="n">
        <x:v>1</x:v>
      </x:c>
      <x:c r="H56" s="38" t="n">
        <x:v>0</x:v>
      </x:c>
      <x:c r="I56" s="22" t="str">
        <x:v>Market-supported</x:v>
      </x:c>
      <x:c r="J56" s="22" t="str">
        <x:v>Unsupported labels such as 'analytical thinker' or 'team player' earn zero.</x:v>
      </x:c>
    </x:row>
  </x:sheetData>
  <x:mergeCells>
    <x:mergeCell ref="A1:J2"/>
    <x:mergeCell ref="A3:J3"/>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4" hidden="0" customWidth="1"/>
    <x:col min="2" max="2" width="58" hidden="0" customWidth="1"/>
    <x:col min="3" max="3" width="12" hidden="0" customWidth="1"/>
    <x:col min="4" max="4" width="50" hidden="0" customWidth="1"/>
    <x:col min="5" max="5" width="14" hidden="0" customWidth="1"/>
    <x:col min="6" max="6" width="32" hidden="0" customWidth="1"/>
    <x:col min="7" max="7" width="3" hidden="0" customWidth="1"/>
  </x:cols>
  <x:sheetData>
    <x:row r="1">
      <x:c r="A1" s="5" t="str">
        <x:v>Qualification Treatment and Score Bands</x:v>
      </x:c>
    </x:row>
    <x:row r="3">
      <x:c r="A3" s="34" t="str">
        <x:v>Qualifications measure market access, not technical capability; score bands describe submitted evidence only.</x:v>
      </x:c>
    </x:row>
    <x:row r="4">
      <x:c r="A4" s="14" t="str">
        <x:v>Track</x:v>
      </x:c>
      <x:c r="B4" s="26" t="str">
        <x:v>Qualification evidence route</x:v>
      </x:c>
      <x:c r="C4" s="26" t="str">
        <x:v>Points</x:v>
      </x:c>
      <x:c r="D4" s="15" t="str">
        <x:v>Rule</x:v>
      </x:c>
    </x:row>
    <x:row r="5">
      <x:c r="A5" s="35" t="str">
        <x:v>Software Engineering</x:v>
      </x:c>
      <x:c r="B5" s="35" t="str">
        <x:v>Completed relevant qualification meeting the typical market threshold</x:v>
      </x:c>
      <x:c r="C5" s="37" t="n">
        <x:v>10</x:v>
      </x:c>
      <x:c r="D5" s="35" t="str">
        <x:v>Full market-access credit</x:v>
      </x:c>
    </x:row>
    <x:row r="6">
      <x:c r="A6" s="22" t="str">
        <x:v>Software Engineering</x:v>
      </x:c>
      <x:c r="B6" s="22" t="str">
        <x:v>Relevant qualification in progress</x:v>
      </x:c>
      <x:c r="C6" s="38" t="n">
        <x:v>7</x:v>
      </x:c>
      <x:c r="D6" s="22" t="str">
        <x:v>Partial market-access credit</x:v>
      </x:c>
    </x:row>
    <x:row r="7">
      <x:c r="A7" s="36" t="str">
        <x:v>Software Engineering</x:v>
      </x:c>
      <x:c r="B7" s="36" t="str">
        <x:v>Substantial equivalent technical experience without the typical qualification</x:v>
      </x:c>
      <x:c r="C7" s="39" t="n">
        <x:v>6</x:v>
      </x:c>
      <x:c r="D7" s="36" t="str">
        <x:v>Partial market-access credit</x:v>
      </x:c>
    </x:row>
    <x:row r="8">
      <x:c r="A8" s="22" t="str">
        <x:v>Software Engineering</x:v>
      </x:c>
      <x:c r="B8" s="22" t="str">
        <x:v>Relevant bootcamp or certifications supported by applied evidence</x:v>
      </x:c>
      <x:c r="C8" s="38" t="n">
        <x:v>4</x:v>
      </x:c>
      <x:c r="D8" s="22" t="str">
        <x:v>Partial market-access credit</x:v>
      </x:c>
    </x:row>
    <x:row r="9">
      <x:c r="A9" s="36" t="str">
        <x:v>Software Engineering</x:v>
      </x:c>
      <x:c r="B9" s="36" t="str">
        <x:v>Adjacent qualification with limited relevant upskilling</x:v>
      </x:c>
      <x:c r="C9" s="39" t="n">
        <x:v>2</x:v>
      </x:c>
      <x:c r="D9" s="36" t="str">
        <x:v>Partial market-access credit</x:v>
      </x:c>
    </x:row>
    <x:row r="10">
      <x:c r="A10" s="22" t="str">
        <x:v>Software Engineering</x:v>
      </x:c>
      <x:c r="B10" s="22" t="str">
        <x:v>No relevant qualification, training, or equivalent experience</x:v>
      </x:c>
      <x:c r="C10" s="38" t="n">
        <x:v>0</x:v>
      </x:c>
      <x:c r="D10" s="22" t="str">
        <x:v>No qualification points; no exclusion or overall cap</x:v>
      </x:c>
    </x:row>
    <x:row r="11">
      <x:c r="A11" s="36" t="str">
        <x:v>Data Analytics</x:v>
      </x:c>
      <x:c r="B11" s="36" t="str">
        <x:v>Completed relevant qualification meeting the typical market threshold</x:v>
      </x:c>
      <x:c r="C11" s="39" t="n">
        <x:v>7</x:v>
      </x:c>
      <x:c r="D11" s="36" t="str">
        <x:v>Full market-access credit</x:v>
      </x:c>
    </x:row>
    <x:row r="12">
      <x:c r="A12" s="22" t="str">
        <x:v>Data Analytics</x:v>
      </x:c>
      <x:c r="B12" s="22" t="str">
        <x:v>Relevant qualification in progress</x:v>
      </x:c>
      <x:c r="C12" s="38" t="n">
        <x:v>5</x:v>
      </x:c>
      <x:c r="D12" s="22" t="str">
        <x:v>Partial market-access credit</x:v>
      </x:c>
    </x:row>
    <x:row r="13">
      <x:c r="A13" s="36" t="str">
        <x:v>Data Analytics</x:v>
      </x:c>
      <x:c r="B13" s="36" t="str">
        <x:v>Substantial equivalent analytical experience without the typical qualification</x:v>
      </x:c>
      <x:c r="C13" s="39" t="n">
        <x:v>4</x:v>
      </x:c>
      <x:c r="D13" s="36" t="str">
        <x:v>Partial market-access credit</x:v>
      </x:c>
    </x:row>
    <x:row r="14">
      <x:c r="A14" s="22" t="str">
        <x:v>Data Analytics</x:v>
      </x:c>
      <x:c r="B14" s="22" t="str">
        <x:v>Relevant bootcamp or certifications supported by applied evidence</x:v>
      </x:c>
      <x:c r="C14" s="38" t="n">
        <x:v>3</x:v>
      </x:c>
      <x:c r="D14" s="22" t="str">
        <x:v>Partial market-access credit</x:v>
      </x:c>
    </x:row>
    <x:row r="15">
      <x:c r="A15" s="36" t="str">
        <x:v>Data Analytics</x:v>
      </x:c>
      <x:c r="B15" s="36" t="str">
        <x:v>Adjacent qualification with limited relevant upskilling</x:v>
      </x:c>
      <x:c r="C15" s="39" t="n">
        <x:v>1</x:v>
      </x:c>
      <x:c r="D15" s="36" t="str">
        <x:v>Partial market-access credit</x:v>
      </x:c>
    </x:row>
    <x:row r="16">
      <x:c r="A16" s="22" t="str">
        <x:v>Data Analytics</x:v>
      </x:c>
      <x:c r="B16" s="22" t="str">
        <x:v>No relevant qualification, training, or equivalent experience</x:v>
      </x:c>
      <x:c r="C16" s="38" t="n">
        <x:v>0</x:v>
      </x:c>
      <x:c r="D16" s="22" t="str">
        <x:v>No qualification points; no exclusion or overall cap</x:v>
      </x:c>
    </x:row>
    <x:row r="19">
      <x:c r="A19" s="14" t="str">
        <x:v>Minimum</x:v>
      </x:c>
      <x:c r="B19" s="26" t="str">
        <x:v>Maximum</x:v>
      </x:c>
      <x:c r="C19" s="26" t="str">
        <x:v>Band</x:v>
      </x:c>
      <x:c r="D19" s="26" t="str">
        <x:v>Interpretation</x:v>
      </x:c>
      <x:c r="E19" s="26" t="str">
        <x:v>Covered scores</x:v>
      </x:c>
      <x:c r="F19" s="15" t="str">
        <x:v>Status</x:v>
      </x:c>
    </x:row>
    <x:row r="20">
      <x:c r="A20" s="55" t="n">
        <x:v>80</x:v>
      </x:c>
      <x:c r="B20" s="55" t="n">
        <x:v>100</x:v>
      </x:c>
      <x:c r="C20" s="21" t="str">
        <x:v>Strong application evidence</x:v>
      </x:c>
      <x:c r="D20" s="21" t="str">
        <x:v>Most benchmark signals are visible; the report should identify the remaining improvements without implying hiring certainty.</x:v>
      </x:c>
      <x:c r="E20" s="55" t="n">
        <x:f>B20-A20+1</x:f>
        <x:v>21</x:v>
      </x:c>
      <x:c r="F20" s="21" t="str">
        <x:v>Provisional until candidate testing</x:v>
      </x:c>
    </x:row>
    <x:row r="21">
      <x:c r="A21" s="38" t="n">
        <x:v>60</x:v>
      </x:c>
      <x:c r="B21" s="38" t="n">
        <x:v>79</x:v>
      </x:c>
      <x:c r="C21" s="22" t="str">
        <x:v>Developing application readiness</x:v>
      </x:c>
      <x:c r="D21" s="22" t="str">
        <x:v>A credible foundation is visible, but material gaps limit the strength of the submitted bundle.</x:v>
      </x:c>
      <x:c r="E21" s="38" t="n">
        <x:f>B21-A21+1</x:f>
        <x:v>20</x:v>
      </x:c>
      <x:c r="F21" s="22" t="str">
        <x:v>Provisional until candidate testing</x:v>
      </x:c>
    </x:row>
    <x:row r="22">
      <x:c r="A22" s="38" t="n">
        <x:v>40</x:v>
      </x:c>
      <x:c r="B22" s="38" t="n">
        <x:v>59</x:v>
      </x:c>
      <x:c r="C22" s="22" t="str">
        <x:v>Foundation visible</x:v>
      </x:c>
      <x:c r="D22" s="22" t="str">
        <x:v>Some relevant evidence exists, but major improvements are needed before the bundle communicates broad readiness.</x:v>
      </x:c>
      <x:c r="E22" s="38" t="n">
        <x:f>B22-A22+1</x:f>
        <x:v>20</x:v>
      </x:c>
      <x:c r="F22" s="22" t="str">
        <x:v>Provisional until candidate testing</x:v>
      </x:c>
    </x:row>
    <x:row r="23">
      <x:c r="A23" s="38" t="n">
        <x:v>0</x:v>
      </x:c>
      <x:c r="B23" s="38" t="n">
        <x:v>39</x:v>
      </x:c>
      <x:c r="C23" s="22" t="str">
        <x:v>Limited application evidence</x:v>
      </x:c>
      <x:c r="D23" s="22" t="str">
        <x:v>The submitted bundle does not yet communicate sufficient readiness against the benchmark.</x:v>
      </x:c>
      <x:c r="E23" s="38" t="n">
        <x:f>B23-A23+1</x:f>
        <x:v>40</x:v>
      </x:c>
      <x:c r="F23" s="22" t="str">
        <x:v>Provisional until candidate testing</x:v>
      </x:c>
    </x:row>
  </x:sheetData>
  <x:mergeCells>
    <x:mergeCell ref="A1:G2"/>
    <x:mergeCell ref="A3:J3"/>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24" hidden="0" customWidth="1"/>
    <x:col min="3" max="3" width="88" hidden="0" customWidth="1"/>
    <x:col min="4" max="4" width="13" hidden="0" customWidth="1"/>
    <x:col min="5" max="5" width="15" hidden="0" customWidth="1"/>
  </x:cols>
  <x:sheetData>
    <x:row r="1">
      <x:c r="A1" s="5" t="str">
        <x:v>Approved Shared and Track-Specific Rules</x:v>
      </x:c>
    </x:row>
    <x:row r="3">
      <x:c r="A3" s="34" t="str">
        <x:v>Approval date: 13 August 2026. These rules are frozen for Rubric V2 Launch Candidate.</x:v>
      </x:c>
    </x:row>
    <x:row r="4">
      <x:c r="A4" s="14" t="str">
        <x:v>Track</x:v>
      </x:c>
      <x:c r="B4" s="26" t="str">
        <x:v>Rule group</x:v>
      </x:c>
      <x:c r="C4" s="26" t="str">
        <x:v>Approved rule</x:v>
      </x:c>
      <x:c r="D4" s="26" t="str">
        <x:v>Status</x:v>
      </x:c>
      <x:c r="E4" s="15" t="str">
        <x:v>Approval date</x:v>
      </x:c>
    </x:row>
    <x:row r="5" ht="42" customHeight="1">
      <x:c r="A5" s="37" t="str">
        <x:v>Both</x:v>
      </x:c>
      <x:c r="B5" s="37" t="str">
        <x:v>Scope</x:v>
      </x:c>
      <x:c r="C5" s="35" t="str">
        <x:v>Assess the CV plus candidate-provided GitHub, portfolio, project, deployed-project, and other professional links only.</x:v>
      </x:c>
      <x:c r="D5" s="37" t="str">
        <x:v>Approved</x:v>
      </x:c>
      <x:c r="E5" s="37" t="str">
        <x:v>2026-08-13</x:v>
      </x:c>
    </x:row>
    <x:row r="6" ht="42" customHeight="1">
      <x:c r="A6" s="38" t="str">
        <x:v>Both</x:v>
      </x:c>
      <x:c r="B6" s="38" t="str">
        <x:v>Scope</x:v>
      </x:c>
      <x:c r="C6" s="22" t="str">
        <x:v>Measure demonstrated application readiness, not hidden capability, interview performance, employment, or hiring probability.</x:v>
      </x:c>
      <x:c r="D6" s="38" t="str">
        <x:v>Approved</x:v>
      </x:c>
      <x:c r="E6" s="38" t="str">
        <x:v>2026-08-13</x:v>
      </x:c>
    </x:row>
    <x:row r="7" ht="42" customHeight="1">
      <x:c r="A7" s="39" t="str">
        <x:v>Both</x:v>
      </x:c>
      <x:c r="B7" s="39" t="str">
        <x:v>Evidence</x:v>
      </x:c>
      <x:c r="C7" s="36" t="str">
        <x:v>Do not infer a technology or ability from a related framework, library, tool, qualification, or job title.</x:v>
      </x:c>
      <x:c r="D7" s="39" t="str">
        <x:v>Approved</x:v>
      </x:c>
      <x:c r="E7" s="39" t="str">
        <x:v>2026-08-13</x:v>
      </x:c>
    </x:row>
    <x:row r="8" ht="42" customHeight="1">
      <x:c r="A8" s="38" t="str">
        <x:v>Both</x:v>
      </x:c>
      <x:c r="B8" s="38" t="str">
        <x:v>Evidence</x:v>
      </x:c>
      <x:c r="C8" s="22" t="str">
        <x:v>Inaccessible links earn no verification credit and create no additional penalty.</x:v>
      </x:c>
      <x:c r="D8" s="38" t="str">
        <x:v>Approved</x:v>
      </x:c>
      <x:c r="E8" s="38" t="str">
        <x:v>2026-08-13</x:v>
      </x:c>
    </x:row>
    <x:row r="9" ht="42" customHeight="1">
      <x:c r="A9" s="39" t="str">
        <x:v>Both</x:v>
      </x:c>
      <x:c r="B9" s="39" t="str">
        <x:v>Evidence</x:v>
      </x:c>
      <x:c r="C9" s="36" t="str">
        <x:v>When sources materially conflict, use the lower defensible evidence level and add a manual-review flag.</x:v>
      </x:c>
      <x:c r="D9" s="39" t="str">
        <x:v>Approved</x:v>
      </x:c>
      <x:c r="E9" s="39" t="str">
        <x:v>2026-08-13</x:v>
      </x:c>
    </x:row>
    <x:row r="10" ht="42" customHeight="1">
      <x:c r="A10" s="38" t="str">
        <x:v>Both</x:v>
      </x:c>
      <x:c r="B10" s="38" t="str">
        <x:v>Required versus preferred</x:v>
      </x:c>
      <x:c r="C10" s="22" t="str">
        <x:v>Common required criteria may receive high weights or approved caps; preferred criteria add points but do not create caps or exclusions.</x:v>
      </x:c>
      <x:c r="D10" s="38" t="str">
        <x:v>Approved</x:v>
      </x:c>
      <x:c r="E10" s="38" t="str">
        <x:v>2026-08-13</x:v>
      </x:c>
    </x:row>
    <x:row r="11" ht="42" customHeight="1">
      <x:c r="A11" s="39" t="str">
        <x:v>Both</x:v>
      </x:c>
      <x:c r="B11" s="39" t="str">
        <x:v>Double counting</x:v>
      </x:c>
      <x:c r="C11" s="36" t="str">
        <x:v>A repeated claim earns no extra points. One item may support separate dimensions only when the rubric explicitly distinguishes competency, tool use, proof quality, or work behaviour.</x:v>
      </x:c>
      <x:c r="D11" s="39" t="str">
        <x:v>Approved</x:v>
      </x:c>
      <x:c r="E11" s="39" t="str">
        <x:v>2026-08-13</x:v>
      </x:c>
    </x:row>
    <x:row r="12" ht="42" customHeight="1">
      <x:c r="A12" s="38" t="str">
        <x:v>Both</x:v>
      </x:c>
      <x:c r="B12" s="38" t="str">
        <x:v>Qualifications</x:v>
      </x:c>
      <x:c r="C12" s="22" t="str">
        <x:v>Qualifications measure market access, not technical ability. Missing qualifications reduce only the assigned qualification points and create no overall cap.</x:v>
      </x:c>
      <x:c r="D12" s="38" t="str">
        <x:v>Approved</x:v>
      </x:c>
      <x:c r="E12" s="38" t="str">
        <x:v>2026-08-13</x:v>
      </x:c>
    </x:row>
    <x:row r="13" ht="42" customHeight="1">
      <x:c r="A13" s="39" t="str">
        <x:v>Both</x:v>
      </x:c>
      <x:c r="B13" s="39" t="str">
        <x:v>CV fairness</x:v>
      </x:c>
      <x:c r="C13" s="36" t="str">
        <x:v>A professional summary is optional when role alignment is clear; unexplained employment gaps are not penalised; visual design matters only where readability is affected.</x:v>
      </x:c>
      <x:c r="D13" s="39" t="str">
        <x:v>Approved</x:v>
      </x:c>
      <x:c r="E13" s="39" t="str">
        <x:v>2026-08-13</x:v>
      </x:c>
    </x:row>
    <x:row r="14" ht="42" customHeight="1">
      <x:c r="A14" s="38" t="str">
        <x:v>Both</x:v>
      </x:c>
      <x:c r="B14" s="38" t="str">
        <x:v>Scoring</x:v>
      </x:c>
      <x:c r="C14" s="22" t="str">
        <x:v>Use whole points, category maxima, no negative points, no bonus above 100, and the strictest applicable post-score cap.</x:v>
      </x:c>
      <x:c r="D14" s="38" t="str">
        <x:v>Approved</x:v>
      </x:c>
      <x:c r="E14" s="38" t="str">
        <x:v>2026-08-13</x:v>
      </x:c>
    </x:row>
    <x:row r="15" ht="42" customHeight="1">
      <x:c r="A15" s="39" t="str">
        <x:v>Both</x:v>
      </x:c>
      <x:c r="B15" s="39" t="str">
        <x:v>Scoring</x:v>
      </x:c>
      <x:c r="C15" s="36" t="str">
        <x:v>Show raw and final capped scores whenever a cap changes the result.</x:v>
      </x:c>
      <x:c r="D15" s="39" t="str">
        <x:v>Approved</x:v>
      </x:c>
      <x:c r="E15" s="39" t="str">
        <x:v>2026-08-13</x:v>
      </x:c>
    </x:row>
    <x:row r="16" ht="42" customHeight="1">
      <x:c r="A16" s="38" t="str">
        <x:v>Both</x:v>
      </x:c>
      <x:c r="B16" s="38" t="str">
        <x:v>Not scorable</x:v>
      </x:c>
      <x:c r="C16" s="22" t="str">
        <x:v>Use only when no CV is submitted, the CV is unreadable or corrupted, or accessible content is insufficient to assess.</x:v>
      </x:c>
      <x:c r="D16" s="38" t="str">
        <x:v>Approved</x:v>
      </x:c>
      <x:c r="E16" s="38" t="str">
        <x:v>2026-08-13</x:v>
      </x:c>
    </x:row>
    <x:row r="17" ht="42" customHeight="1">
      <x:c r="A17" s="39" t="str">
        <x:v>Both</x:v>
      </x:c>
      <x:c r="B17" s="39" t="str">
        <x:v>Manual review</x:v>
      </x:c>
      <x:c r="C17" s="36" t="str">
        <x:v>Flag track mismatch, material contradictions, unclear evidence ownership or authenticity, or material ambiguity.</x:v>
      </x:c>
      <x:c r="D17" s="39" t="str">
        <x:v>Approved</x:v>
      </x:c>
      <x:c r="E17" s="39" t="str">
        <x:v>2026-08-13</x:v>
      </x:c>
    </x:row>
    <x:row r="18" ht="42" customHeight="1">
      <x:c r="A18" s="38" t="str">
        <x:v>Both</x:v>
      </x:c>
      <x:c r="B18" s="38" t="str">
        <x:v>Status</x:v>
      </x:c>
      <x:c r="C18" s="22" t="str">
        <x:v>Label Rubric V2 as Launch Candidate and provisional until candidate and end-to-end testing are complete.</x:v>
      </x:c>
      <x:c r="D18" s="38" t="str">
        <x:v>Approved</x:v>
      </x:c>
      <x:c r="E18" s="38" t="str">
        <x:v>2026-08-13</x:v>
      </x:c>
    </x:row>
    <x:row r="19" ht="42" customHeight="1">
      <x:c r="A19" s="39" t="str">
        <x:v>SE</x:v>
      </x:c>
      <x:c r="B19" s="39" t="str">
        <x:v>Hard cap</x:v>
      </x:c>
      <x:c r="C19" s="36" t="str">
        <x:v>No specifically evidenced programming language anywhere in the submitted bundle: final score cap 59. A named programming language appeared in 20 of 22 retained SE posts and is foundational to the track.</x:v>
      </x:c>
      <x:c r="D19" s="39" t="str">
        <x:v>Approved</x:v>
      </x:c>
      <x:c r="E19" s="39" t="str">
        <x:v>2026-08-13</x:v>
      </x:c>
    </x:row>
    <x:row r="20" ht="42" customHeight="1">
      <x:c r="A20" s="38" t="str">
        <x:v>SE</x:v>
      </x:c>
      <x:c r="B20" s="38" t="str">
        <x:v>Category rule</x:v>
      </x:c>
      <x:c r="C20" s="22" t="str">
        <x:v>Applied Project Evidence: Without an accessible submitted project link, this category is capped at 8 of 15.</x:v>
      </x:c>
      <x:c r="D20" s="38" t="str">
        <x:v>Approved</x:v>
      </x:c>
      <x:c r="E20" s="38" t="str">
        <x:v>2026-08-13</x:v>
      </x:c>
    </x:row>
    <x:row r="21" ht="42" customHeight="1">
      <x:c r="A21" s="39" t="str">
        <x:v>SE</x:v>
      </x:c>
      <x:c r="B21" s="39" t="str">
        <x:v>Category rule</x:v>
      </x:c>
      <x:c r="C21" s="36" t="str">
        <x:v>Work Readiness Signals: Unsupported labels such as 'team player' or 'good communicator' earn zero.</x:v>
      </x:c>
      <x:c r="D21" s="39" t="str">
        <x:v>Approved</x:v>
      </x:c>
      <x:c r="E21" s="39" t="str">
        <x:v>2026-08-13</x:v>
      </x:c>
    </x:row>
    <x:row r="22" ht="42" customHeight="1">
      <x:c r="A22" s="38" t="str">
        <x:v>DA</x:v>
      </x:c>
      <x:c r="B22" s="38" t="str">
        <x:v>Hard cap</x:v>
      </x:c>
      <x:c r="C22" s="22" t="str">
        <x:v>No SQL evidence anywhere in the submitted bundle: final score cap 79. SQL appeared in 13 of 16 retained DA posts and is the most consistently requested technical skill in the track.</x:v>
      </x:c>
      <x:c r="D22" s="38" t="str">
        <x:v>Approved</x:v>
      </x:c>
      <x:c r="E22" s="38" t="str">
        <x:v>2026-08-13</x:v>
      </x:c>
    </x:row>
    <x:row r="23" ht="42" customHeight="1">
      <x:c r="A23" s="39" t="str">
        <x:v>DA</x:v>
      </x:c>
      <x:c r="B23" s="39" t="str">
        <x:v>Category rule</x:v>
      </x:c>
      <x:c r="C23" s="36" t="str">
        <x:v>Applied Project Evidence: Without an accessible submitted project link, this category is capped at 6 of 10. A context-free dashboard screenshot cannot earn full credit.</x:v>
      </x:c>
      <x:c r="D23" s="39" t="str">
        <x:v>Approved</x:v>
      </x:c>
      <x:c r="E23" s="39" t="str">
        <x:v>2026-08-13</x:v>
      </x:c>
    </x:row>
    <x:row r="24" ht="42" customHeight="1">
      <x:c r="A24" s="38" t="str">
        <x:v>DA</x:v>
      </x:c>
      <x:c r="B24" s="38" t="str">
        <x:v>Category rule</x:v>
      </x:c>
      <x:c r="C24" s="22" t="str">
        <x:v>Work Readiness Signals: Unsupported labels such as 'analytical thinker' or 'team player' earn zero.</x:v>
      </x:c>
      <x:c r="D24" s="38" t="str">
        <x:v>Approved</x:v>
      </x:c>
      <x:c r="E24" s="38" t="str">
        <x:v>2026-08-13</x:v>
      </x:c>
    </x:row>
  </x:sheetData>
  <x:mergeCells>
    <x:mergeCell ref="A1:E2"/>
    <x:mergeCell ref="A3:J3"/>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1" hidden="0" customWidth="1"/>
    <x:col min="2" max="2" width="10" hidden="0" customWidth="1"/>
    <x:col min="3" max="3" width="42" hidden="0" customWidth="1"/>
    <x:col min="4" max="4" width="13" hidden="0" customWidth="1"/>
    <x:col min="5" max="5" width="15" hidden="0" customWidth="1"/>
    <x:col min="6" max="6" width="13" hidden="0" customWidth="1"/>
  </x:cols>
  <x:sheetData>
    <x:row r="1">
      <x:c r="A1" s="5" t="str">
        <x:v>Calibration Logic and Mathematical QA</x:v>
      </x:c>
    </x:row>
    <x:row r="3">
      <x:c r="A3" s="34" t="str">
        <x:v>All critical checks must return PASS before Rubric V2 is released.</x:v>
      </x:c>
    </x:row>
    <x:row r="4">
      <x:c r="A4" s="14" t="str">
        <x:v>Check ID</x:v>
      </x:c>
      <x:c r="B4" s="26" t="str">
        <x:v>Scope</x:v>
      </x:c>
      <x:c r="C4" s="26" t="str">
        <x:v>Check</x:v>
      </x:c>
      <x:c r="D4" s="26" t="str">
        <x:v>Expected</x:v>
      </x:c>
      <x:c r="E4" s="26" t="str">
        <x:v>Formula result</x:v>
      </x:c>
      <x:c r="F4" s="15" t="str">
        <x:v>Status</x:v>
      </x:c>
    </x:row>
    <x:row r="5">
      <x:c r="A5" s="37" t="str">
        <x:v>QA-01</x:v>
      </x:c>
      <x:c r="B5" s="37" t="str">
        <x:v>SE</x:v>
      </x:c>
      <x:c r="C5" s="35" t="str">
        <x:v>V2 category weights total</x:v>
      </x:c>
      <x:c r="D5" s="37" t="n">
        <x:v>100</x:v>
      </x:c>
      <x:c r="E5" s="37" t="n">
        <x:f>'Weight Comparison'!E10</x:f>
        <x:v>100</x:v>
      </x:c>
      <x:c r="F5" s="37" t="str">
        <x:f>IF(E5=D5,"PASS","CHECK")</x:f>
        <x:v>PASS</x:v>
      </x:c>
    </x:row>
    <x:row r="6">
      <x:c r="A6" s="38" t="str">
        <x:v>QA-02</x:v>
      </x:c>
      <x:c r="B6" s="38" t="str">
        <x:v>DA</x:v>
      </x:c>
      <x:c r="C6" s="22" t="str">
        <x:v>V2 category weights total</x:v>
      </x:c>
      <x:c r="D6" s="38" t="n">
        <x:v>100</x:v>
      </x:c>
      <x:c r="E6" s="38" t="n">
        <x:f>'Weight Comparison'!E18</x:f>
        <x:v>100</x:v>
      </x:c>
      <x:c r="F6" s="38" t="str">
        <x:f>IF(E6=D6,"PASS","CHECK")</x:f>
        <x:v>PASS</x:v>
      </x:c>
    </x:row>
    <x:row r="7">
      <x:c r="A7" s="39" t="str">
        <x:v>QA-03</x:v>
      </x:c>
      <x:c r="B7" s="39" t="str">
        <x:v>Both</x:v>
      </x:c>
      <x:c r="C7" s="36" t="str">
        <x:v>Evidence questions resolved</x:v>
      </x:c>
      <x:c r="D7" s="39" t="n">
        <x:v>13</x:v>
      </x:c>
      <x:c r="E7" s="39" t="n">
        <x:f>COUNTA('Evidence Matrix'!A5:A17)</x:f>
        <x:v>13</x:v>
      </x:c>
      <x:c r="F7" s="39" t="str">
        <x:f>IF(E7=D7,"PASS","CHECK")</x:f>
        <x:v>PASS</x:v>
      </x:c>
    </x:row>
    <x:row r="8">
      <x:c r="A8" s="38" t="str">
        <x:v>QA-04</x:v>
      </x:c>
      <x:c r="B8" s="38" t="str">
        <x:v>Both</x:v>
      </x:c>
      <x:c r="C8" s="22" t="str">
        <x:v>Score bands cover 0 through 100</x:v>
      </x:c>
      <x:c r="D8" s="38" t="n">
        <x:v>101</x:v>
      </x:c>
      <x:c r="E8" s="38" t="n">
        <x:f>SUM('Qualifications &amp; Bands'!E20:E23)</x:f>
        <x:v>101</x:v>
      </x:c>
      <x:c r="F8" s="38" t="str">
        <x:f>IF(E8=D8,"PASS","CHECK")</x:f>
        <x:v>PASS</x:v>
      </x:c>
    </x:row>
    <x:row r="9">
      <x:c r="A9" s="39" t="str">
        <x:v>QA-05</x:v>
      </x:c>
      <x:c r="B9" s="39" t="str">
        <x:v>SE</x:v>
      </x:c>
      <x:c r="C9" s="36" t="str">
        <x:v>Criterion maxima total</x:v>
      </x:c>
      <x:c r="D9" s="39" t="n">
        <x:v>100</x:v>
      </x:c>
      <x:c r="E9" s="39" t="n">
        <x:f>SUMIFS('Scoring Architecture'!E5:E56,'Scoring Architecture'!A5:A56,"Software Engineering")</x:f>
        <x:v>100</x:v>
      </x:c>
      <x:c r="F9" s="39" t="str">
        <x:f>IF(E9=D9,"PASS","CHECK")</x:f>
        <x:v>PASS</x:v>
      </x:c>
    </x:row>
    <x:row r="10">
      <x:c r="A10" s="38" t="str">
        <x:v>QA-06</x:v>
      </x:c>
      <x:c r="B10" s="38" t="str">
        <x:v>DA</x:v>
      </x:c>
      <x:c r="C10" s="22" t="str">
        <x:v>Criterion maxima total</x:v>
      </x:c>
      <x:c r="D10" s="38" t="n">
        <x:v>100</x:v>
      </x:c>
      <x:c r="E10" s="38" t="n">
        <x:f>SUMIFS('Scoring Architecture'!E5:E56,'Scoring Architecture'!A5:A56,"Data Analytics")</x:f>
        <x:v>100</x:v>
      </x:c>
      <x:c r="F10" s="38" t="str">
        <x:f>IF(E10=D10,"PASS","CHECK")</x:f>
        <x:v>PASS</x:v>
      </x:c>
    </x:row>
    <x:row r="11">
      <x:c r="A11" s="39" t="str">
        <x:v>QA-07</x:v>
      </x:c>
      <x:c r="B11" s="39" t="str">
        <x:v>SE</x:v>
      </x:c>
      <x:c r="C11" s="36" t="str">
        <x:v>Highest qualification score</x:v>
      </x:c>
      <x:c r="D11" s="39" t="n">
        <x:v>10</x:v>
      </x:c>
      <x:c r="E11" s="39" t="n">
        <x:f>MAX('Qualifications &amp; Bands'!C5:C10)</x:f>
        <x:v>10</x:v>
      </x:c>
      <x:c r="F11" s="39" t="str">
        <x:f>IF(E11=D11,"PASS","CHECK")</x:f>
        <x:v>PASS</x:v>
      </x:c>
    </x:row>
    <x:row r="12">
      <x:c r="A12" s="38" t="str">
        <x:v>QA-08</x:v>
      </x:c>
      <x:c r="B12" s="38" t="str">
        <x:v>DA</x:v>
      </x:c>
      <x:c r="C12" s="22" t="str">
        <x:v>Highest qualification score</x:v>
      </x:c>
      <x:c r="D12" s="38" t="n">
        <x:v>7</x:v>
      </x:c>
      <x:c r="E12" s="38" t="n">
        <x:f>MAX('Qualifications &amp; Bands'!C11:C16)</x:f>
        <x:v>7</x:v>
      </x:c>
      <x:c r="F12" s="38" t="str">
        <x:f>IF(E12=D12,"PASS","CHECK")</x:f>
        <x:v>PASS</x:v>
      </x:c>
    </x:row>
    <x:row r="13">
      <x:c r="A13" s="39" t="str">
        <x:v>QA-09</x:v>
      </x:c>
      <x:c r="B13" s="39" t="str">
        <x:v>SE</x:v>
      </x:c>
      <x:c r="C13" s="36" t="str">
        <x:v>No-language final cap</x:v>
      </x:c>
      <x:c r="D13" s="39" t="n">
        <x:v>59</x:v>
      </x:c>
      <x:c r="E13" s="39" t="n">
        <x:v>59</x:v>
      </x:c>
      <x:c r="F13" s="39" t="str">
        <x:f>IF(E13=D13,"PASS","CHECK")</x:f>
        <x:v>PASS</x:v>
      </x:c>
    </x:row>
    <x:row r="14">
      <x:c r="A14" s="38" t="str">
        <x:v>QA-10</x:v>
      </x:c>
      <x:c r="B14" s="38" t="str">
        <x:v>DA</x:v>
      </x:c>
      <x:c r="C14" s="22" t="str">
        <x:v>No-SQL final cap</x:v>
      </x:c>
      <x:c r="D14" s="38" t="n">
        <x:v>79</x:v>
      </x:c>
      <x:c r="E14" s="38" t="n">
        <x:v>79</x:v>
      </x:c>
      <x:c r="F14" s="38" t="str">
        <x:f>IF(E14=D14,"PASS","CHECK")</x:f>
        <x:v>PASS</x:v>
      </x:c>
    </x:row>
    <x:row r="17">
      <x:c r="A17" s="28" t="str">
        <x:v>Logic QA notes</x:v>
      </x:c>
    </x:row>
    <x:row r="18" ht="24" customHeight="1">
      <x:c r="A18" s="32" t="str">
        <x:v>Whole-point scoring is used. Category scores cannot exceed their maxima. Unsupported claims earn zero rather than negative points. Caps apply after the raw total, and the strictest applicable cap controls the final score. Raw and capped scores must both be recorded when a cap changes the result. Qualification absence reduces qualification points only and creates no exclusion or overall cap.</x:v>
      </x:c>
    </x:row>
    <x:row r="19" ht="24" customHeight="1"/>
    <x:row r="20" ht="24" customHeight="1"/>
    <x:row r="21" ht="24" customHeight="1"/>
    <x:row r="22" ht="24" customHeight="1"/>
  </x:sheetData>
  <x:mergeCells>
    <x:mergeCell ref="A1:F2"/>
    <x:mergeCell ref="A3:J3"/>
    <x:mergeCell ref="A17:F17"/>
    <x:mergeCell ref="A18:F22"/>
  </x:mergeCells>
  <x:conditionalFormatting sqref="F5:F14">
    <x:cfRule type="containsText" dxfId="3" priority="1" operator="containsText" text="PASS"/>
    <x:cfRule type="containsText" dxfId="4" priority="2" operator="containsText" text="CHECK"/>
  </x:conditionalFormatting>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11" hidden="0" customWidth="1"/>
    <x:col min="2" max="2" width="10" hidden="0" customWidth="1"/>
    <x:col min="3" max="3" width="36" hidden="0" customWidth="1"/>
    <x:col min="4" max="4" width="29" hidden="0" customWidth="1"/>
    <x:col min="5" max="5" width="68" hidden="0" customWidth="1"/>
    <x:col min="6" max="6" width="13" hidden="0" customWidth="1"/>
  </x:cols>
  <x:sheetData>
    <x:row r="1">
      <x:c r="A1" s="5" t="str">
        <x:v>Provisional Criteria and Candidate-Test Queue</x:v>
      </x:c>
    </x:row>
    <x:row r="3">
      <x:c r="A3" s="34" t="str">
        <x:v>These items remain explicit hypotheses for Phases 9 to 11; their provisional status does not block V2 launch-candidate use.</x:v>
      </x:c>
    </x:row>
    <x:row r="4">
      <x:c r="A4" s="14" t="str">
        <x:v>Test ID</x:v>
      </x:c>
      <x:c r="B4" s="26" t="str">
        <x:v>Track</x:v>
      </x:c>
      <x:c r="C4" s="26" t="str">
        <x:v>Item</x:v>
      </x:c>
      <x:c r="D4" s="26" t="str">
        <x:v>Evidence basis</x:v>
      </x:c>
      <x:c r="E4" s="26" t="str">
        <x:v>Candidate-test action</x:v>
      </x:c>
      <x:c r="F4" s="15" t="str">
        <x:v>Status</x:v>
      </x:c>
    </x:row>
    <x:row r="5" ht="44" customHeight="1">
      <x:c r="A5" s="37" t="str">
        <x:v>T-01</x:v>
      </x:c>
      <x:c r="B5" s="37" t="str">
        <x:v>Both</x:v>
      </x:c>
      <x:c r="C5" s="35" t="str">
        <x:v>Evidence-level consistency</x:v>
      </x:c>
      <x:c r="D5" s="35" t="str">
        <x:v>Product judgment</x:v>
      </x:c>
      <x:c r="E5" s="35" t="str">
        <x:v>Have two assessors independently score the same bundle and compare criterion-level differences.</x:v>
      </x:c>
      <x:c r="F5" s="56" t="str">
        <x:v>Pending</x:v>
      </x:c>
    </x:row>
    <x:row r="6" ht="44" customHeight="1">
      <x:c r="A6" s="38" t="str">
        <x:v>T-02</x:v>
      </x:c>
      <x:c r="B6" s="38" t="str">
        <x:v>SE</x:v>
      </x:c>
      <x:c r="C6" s="22" t="str">
        <x:v>No-language cap at 59</x:v>
      </x:c>
      <x:c r="D6" s="22" t="str">
        <x:v>Market-supported rule</x:v>
      </x:c>
      <x:c r="E6" s="22" t="str">
        <x:v>Check whether the cap produces sensible outcomes across weak and otherwise strong bundles.</x:v>
      </x:c>
      <x:c r="F6" s="57" t="str">
        <x:v>Pending</x:v>
      </x:c>
    </x:row>
    <x:row r="7" ht="44" customHeight="1">
      <x:c r="A7" s="39" t="str">
        <x:v>T-03</x:v>
      </x:c>
      <x:c r="B7" s="39" t="str">
        <x:v>SE</x:v>
      </x:c>
      <x:c r="C7" s="36" t="str">
        <x:v>CV-only project cap at 8 of 15</x:v>
      </x:c>
      <x:c r="D7" s="36" t="str">
        <x:v>Product judgment</x:v>
      </x:c>
      <x:c r="E7" s="36" t="str">
        <x:v>Compare detailed CV projects with accessible repositories and deployed work.</x:v>
      </x:c>
      <x:c r="F7" s="57" t="str">
        <x:v>Pending</x:v>
      </x:c>
    </x:row>
    <x:row r="8" ht="44" customHeight="1">
      <x:c r="A8" s="38" t="str">
        <x:v>T-04</x:v>
      </x:c>
      <x:c r="B8" s="38" t="str">
        <x:v>SE</x:v>
      </x:c>
      <x:c r="C8" s="22" t="str">
        <x:v>README and repository quality</x:v>
      </x:c>
      <x:c r="D8" s="22" t="str">
        <x:v>Product judgment</x:v>
      </x:c>
      <x:c r="E8" s="22" t="str">
        <x:v>Define observable anchors and measure inter-assessor agreement.</x:v>
      </x:c>
      <x:c r="F8" s="57" t="str">
        <x:v>Pending</x:v>
      </x:c>
    </x:row>
    <x:row r="9" ht="44" customHeight="1">
      <x:c r="A9" s="39" t="str">
        <x:v>T-05</x:v>
      </x:c>
      <x:c r="B9" s="39" t="str">
        <x:v>DA</x:v>
      </x:c>
      <x:c r="C9" s="36" t="str">
        <x:v>No-SQL cap at 79</x:v>
      </x:c>
      <x:c r="D9" s="36" t="str">
        <x:v>Market-supported rule</x:v>
      </x:c>
      <x:c r="E9" s="36" t="str">
        <x:v>Check whether strong non-SQL candidates receive a fair but non-top-band result.</x:v>
      </x:c>
      <x:c r="F9" s="57" t="str">
        <x:v>Pending</x:v>
      </x:c>
    </x:row>
    <x:row r="10" ht="44" customHeight="1">
      <x:c r="A10" s="38" t="str">
        <x:v>T-06</x:v>
      </x:c>
      <x:c r="B10" s="38" t="str">
        <x:v>DA</x:v>
      </x:c>
      <x:c r="C10" s="22" t="str">
        <x:v>Excel versus Google Sheets</x:v>
      </x:c>
      <x:c r="D10" s="22" t="str">
        <x:v>Partially market-supported</x:v>
      </x:c>
      <x:c r="E10" s="22" t="str">
        <x:v>Review whether the five-point Sheets ceiling reflects real candidate evidence and market access.</x:v>
      </x:c>
      <x:c r="F10" s="57" t="str">
        <x:v>Pending</x:v>
      </x:c>
    </x:row>
    <x:row r="11" ht="44" customHeight="1">
      <x:c r="A11" s="39" t="str">
        <x:v>T-07</x:v>
      </x:c>
      <x:c r="B11" s="39" t="str">
        <x:v>DA</x:v>
      </x:c>
      <x:c r="C11" s="36" t="str">
        <x:v>Data-cleaning weight</x:v>
      </x:c>
      <x:c r="D11" s="36" t="str">
        <x:v>Pending candidate testing</x:v>
      </x:c>
      <x:c r="E11" s="36" t="str">
        <x:v>Measure prevalence and diagnostic value across candidate bundles.</x:v>
      </x:c>
      <x:c r="F11" s="57" t="str">
        <x:v>Pending</x:v>
      </x:c>
    </x:row>
    <x:row r="12" ht="44" customHeight="1">
      <x:c r="A12" s="38" t="str">
        <x:v>T-08</x:v>
      </x:c>
      <x:c r="B12" s="38" t="str">
        <x:v>DA</x:v>
      </x:c>
      <x:c r="C12" s="22" t="str">
        <x:v>Power BI alignment point</x:v>
      </x:c>
      <x:c r="D12" s="22" t="str">
        <x:v>Market-supported</x:v>
      </x:c>
      <x:c r="E12" s="22" t="str">
        <x:v>Confirm the one-point market alignment does not unfairly discount equivalent BI capability.</x:v>
      </x:c>
      <x:c r="F12" s="57" t="str">
        <x:v>Pending</x:v>
      </x:c>
    </x:row>
    <x:row r="13" ht="44" customHeight="1">
      <x:c r="A13" s="39" t="str">
        <x:v>T-09</x:v>
      </x:c>
      <x:c r="B13" s="39" t="str">
        <x:v>Both</x:v>
      </x:c>
      <x:c r="C13" s="36" t="str">
        <x:v>Qualification alternative routes</x:v>
      </x:c>
      <x:c r="D13" s="36" t="str">
        <x:v>Partially market-supported</x:v>
      </x:c>
      <x:c r="E13" s="36" t="str">
        <x:v>Review equivalent-experience and bootcamp scores against realistic market-access outcomes.</x:v>
      </x:c>
      <x:c r="F13" s="57" t="str">
        <x:v>Pending</x:v>
      </x:c>
    </x:row>
    <x:row r="14" ht="44" customHeight="1">
      <x:c r="A14" s="38" t="str">
        <x:v>T-10</x:v>
      </x:c>
      <x:c r="B14" s="38" t="str">
        <x:v>Both</x:v>
      </x:c>
      <x:c r="C14" s="22" t="str">
        <x:v>CV clarity points</x:v>
      </x:c>
      <x:c r="D14" s="22" t="str">
        <x:v>Product judgment</x:v>
      </x:c>
      <x:c r="E14" s="22" t="str">
        <x:v>Measure whether assessors agree and whether feedback is useful to candidates.</x:v>
      </x:c>
      <x:c r="F14" s="57" t="str">
        <x:v>Pending</x:v>
      </x:c>
    </x:row>
    <x:row r="15" ht="44" customHeight="1">
      <x:c r="A15" s="39" t="str">
        <x:v>T-11</x:v>
      </x:c>
      <x:c r="B15" s="39" t="str">
        <x:v>Both</x:v>
      </x:c>
      <x:c r="C15" s="36" t="str">
        <x:v>Score-band meanings</x:v>
      </x:c>
      <x:c r="D15" s="36" t="str">
        <x:v>Pending candidate testing</x:v>
      </x:c>
      <x:c r="E15" s="36" t="str">
        <x:v>Review score distributions and report language after approximately five test candidates.</x:v>
      </x:c>
      <x:c r="F15" s="57" t="str">
        <x:v>Pending</x:v>
      </x:c>
    </x:row>
  </x:sheetData>
  <x:mergeCells>
    <x:mergeCell ref="A1:F2"/>
    <x:mergeCell ref="A3:J3"/>
  </x:mergeCells>
  <x:pageMargins left="0.7" right="0.7" top="0.75" bottom="0.75" header="0.3" footer="0.3"/>
</x:worksheet>
</file>
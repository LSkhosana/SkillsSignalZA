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d82ba51f594d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0474ee203ba94562"/>
    <x:sheet xmlns:r="http://schemas.openxmlformats.org/officeDocument/2006/relationships" name="Candidate Lanes" sheetId="2" r:id="Re601e005339d4480"/>
    <x:sheet xmlns:r="http://schemas.openxmlformats.org/officeDocument/2006/relationships" name="Post Coding" sheetId="3" r:id="Re39863aad65e4bf4"/>
    <x:sheet xmlns:r="http://schemas.openxmlformats.org/officeDocument/2006/relationships" name="Skill Signals" sheetId="4" r:id="Rffac6b4586754afd"/>
    <x:sheet xmlns:r="http://schemas.openxmlformats.org/officeDocument/2006/relationships" name="Decision Log" sheetId="5" r:id="Rb029762d4f104dd8"/>
    <x:sheet xmlns:r="http://schemas.openxmlformats.org/officeDocument/2006/relationships" name="Method &amp; QA" sheetId="6" r:id="R03ce2d2ac97a4a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22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6221D"/>
      <x:name val="Carlito"/>
    </x:font>
    <x:font>
      <x:b/>
      <x:sz val="13"/>
      <x:color rgb="FFFFFFFF"/>
      <x:name val="Carlito"/>
    </x:font>
    <x:font>
      <x:b/>
      <x:sz val="12"/>
      <x:color rgb="FF0B6E4F"/>
      <x:name val="Carlito"/>
    </x:font>
    <x:font>
      <x:b/>
      <x:sz val="11"/>
      <x:color rgb="FFFFFFFF"/>
      <x:name val="Carlito"/>
    </x:font>
    <x:font>
      <x:sz val="11"/>
      <x:color rgb="FF16221D"/>
      <x:name val="Carlito"/>
    </x:font>
    <x:font>
      <x:b/>
      <x:sz val="11"/>
      <x:color rgb="FF0B6E4F"/>
      <x:name val="Carlito"/>
    </x:font>
    <x:font>
      <x:b/>
      <x:sz val="11"/>
      <x:color rgb="FFD89B2B"/>
      <x:name val="Carlito"/>
    </x:font>
    <x:font>
      <x:b/>
      <x:sz val="18"/>
      <x:color rgb="FFFFFFFF"/>
      <x:name val="Aptos"/>
    </x:font>
    <x:font>
      <x:i/>
      <x:sz val="11"/>
      <x:color rgb="FF16221D"/>
      <x:name val="Aptos"/>
    </x:font>
    <x:font>
      <x:sz val="11"/>
      <x:name val="Aptos"/>
    </x:font>
    <x:font>
      <x:b/>
      <x:sz val="13"/>
      <x:color rgb="FFFFFFFF"/>
      <x:name val="Aptos"/>
    </x:font>
    <x:font>
      <x:b/>
      <x:sz val="12"/>
      <x:color rgb="FF0B6E4F"/>
      <x:name val="Aptos"/>
    </x:font>
    <x:font>
      <x:b/>
      <x:sz val="11"/>
      <x:color rgb="FFFFFFFF"/>
      <x:name val="Aptos"/>
    </x:font>
    <x:font>
      <x:sz val="11"/>
      <x:color rgb="FF16221D"/>
      <x:name val="Aptos"/>
    </x:font>
    <x:font>
      <x:b/>
      <x:sz val="11"/>
      <x:color rgb="FF0B6E4F"/>
      <x:name val="Aptos"/>
    </x:font>
    <x:font>
      <x:b/>
      <x:sz val="11"/>
      <x:color rgb="FFD89B2B"/>
      <x:name val="Aptos"/>
    </x:font>
    <x:font>
      <x:b/>
      <x:sz val="11"/>
      <x:color rgb="FF5B6B63"/>
      <x:name val="Carlito"/>
    </x:font>
    <x:font>
      <x:b/>
      <x:sz val="11"/>
      <x:color rgb="FFB54747"/>
      <x:name val="Carlito"/>
    </x:font>
    <x:font>
      <x:b/>
      <x:sz val="11"/>
      <x:color rgb="FF5B6B63"/>
      <x:name val="Aptos"/>
    </x:font>
    <x:font>
      <x:b/>
      <x:sz val="11"/>
      <x:color rgb="FFB5474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0B6E4F"/>
      </x:patternFill>
    </x:fill>
    <x:fill>
      <x:patternFill patternType="solid">
        <x:fgColor rgb="FFEAF5F0"/>
      </x:patternFill>
    </x:fill>
    <x:fill>
      <x:patternFill patternType="solid">
        <x:fgColor rgb="FF16221D"/>
      </x:patternFill>
    </x:fill>
    <x:fill>
      <x:patternFill patternType="solid">
        <x:fgColor rgb="FFF5F7F6"/>
      </x:patternFill>
    </x:fill>
    <x:fill>
      <x:patternFill patternType="solid">
        <x:fgColor rgb="FFFFF4D6"/>
      </x:patternFill>
    </x:fill>
    <x:fill>
      <x:patternFill patternType="solid">
        <x:fgColor rgb="FFFCEAEA"/>
      </x:patternFill>
    </x:fill>
  </x:fills>
  <x:borders count="19">
    <x:border/>
    <x:border>
      <x:left style="thin">
        <x:color rgb="FF0B6E4F"/>
      </x:left>
      <x:top style="thin">
        <x:color rgb="FF0B6E4F"/>
      </x:top>
    </x:border>
    <x:border>
      <x:top style="thin">
        <x:color rgb="FF0B6E4F"/>
      </x:top>
    </x:border>
    <x:border>
      <x:right style="thin">
        <x:color rgb="FF0B6E4F"/>
      </x:right>
      <x:top style="thin">
        <x:color rgb="FF0B6E4F"/>
      </x:top>
    </x:border>
    <x:border>
      <x:left style="thin">
        <x:color rgb="FF0B6E4F"/>
      </x:left>
      <x:bottom style="thin">
        <x:color rgb="FF0B6E4F"/>
      </x:bottom>
    </x:border>
    <x:border>
      <x:bottom style="thin">
        <x:color rgb="FF0B6E4F"/>
      </x:bottom>
    </x:border>
    <x:border>
      <x:right style="thin">
        <x:color rgb="FF0B6E4F"/>
      </x:right>
      <x:bottom style="thin">
        <x:color rgb="FF0B6E4F"/>
      </x:bottom>
    </x:border>
    <x:border>
      <x:left style="thin">
        <x:color rgb="FF16221D"/>
      </x:left>
      <x:top style="thin">
        <x:color rgb="FF16221D"/>
      </x:top>
      <x:bottom style="thin">
        <x:color rgb="FF16221D"/>
      </x:bottom>
    </x:border>
    <x:border>
      <x:top style="thin">
        <x:color rgb="FF16221D"/>
      </x:top>
      <x:bottom style="thin">
        <x:color rgb="FF16221D"/>
      </x:bottom>
    </x:border>
    <x:border>
      <x:right style="thin">
        <x:color rgb="FF16221D"/>
      </x:right>
      <x:top style="thin">
        <x:color rgb="FF16221D"/>
      </x:top>
      <x:bottom style="thin">
        <x:color rgb="FF16221D"/>
      </x:bottom>
    </x:border>
    <x:border>
      <x:bottom style="thin">
        <x:color rgb="FFD7E0DB"/>
      </x:bottom>
    </x:border>
    <x:border>
      <x:top style="thin">
        <x:color rgb="FFD7E0DB"/>
      </x:top>
      <x:bottom style="thin">
        <x:color rgb="FFD7E0DB"/>
      </x:bottom>
    </x:border>
    <x:border>
      <x:left style="thin">
        <x:color rgb="FFD7E0DB"/>
      </x:left>
      <x:top style="thin">
        <x:color rgb="FFD7E0DB"/>
      </x:top>
    </x:border>
    <x:border>
      <x:top style="thin">
        <x:color rgb="FFD7E0DB"/>
      </x:top>
    </x:border>
    <x:border>
      <x:right style="thin">
        <x:color rgb="FFD7E0DB"/>
      </x:right>
      <x:top style="thin">
        <x:color rgb="FFD7E0DB"/>
      </x:top>
    </x:border>
    <x:border>
      <x:left style="thin">
        <x:color rgb="FFD7E0DB"/>
      </x:left>
    </x:border>
    <x:border>
      <x:right style="thin">
        <x:color rgb="FFD7E0DB"/>
      </x:right>
    </x:border>
    <x:border>
      <x:left style="thin">
        <x:color rgb="FFD7E0DB"/>
      </x:left>
      <x:bottom style="thin">
        <x:color rgb="FFD7E0DB"/>
      </x:bottom>
    </x:border>
    <x:border>
      <x:right style="thin">
        <x:color rgb="FFD7E0DB"/>
      </x:right>
      <x:bottom style="thin">
        <x:color rgb="FFD7E0DB"/>
      </x:bottom>
    </x:border>
  </x:borders>
  <x:cellStyleXfs count="1">
    <x:xf numFmtId="0" fontId="0" fillId="0" borderId="0"/>
  </x:cellStyleXfs>
  <x:cellXfs count="1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4" fillId="3" borderId="6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/>
    <x:xf numFmtId="0" fontId="5" fillId="4" borderId="7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5" fillId="4" borderId="7" xfId="0" applyNumberFormat="1" applyFont="1" applyFill="1" applyBorder="1" applyAlignment="1">
      <x:alignment wrapText="1"/>
    </x:xf>
    <x:xf numFmtId="0" fontId="5" fillId="4" borderId="8" xfId="0" applyNumberFormat="1" applyFont="1" applyFill="1" applyBorder="1" applyAlignment="1">
      <x:alignment wrapText="1"/>
    </x:xf>
    <x:xf numFmtId="0" fontId="5" fillId="4" borderId="9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vertical="center" wrapText="1"/>
    </x:xf>
    <x:xf numFmtId="0" fontId="5" fillId="4" borderId="8" xfId="0" applyNumberFormat="1" applyFont="1" applyFill="1" applyBorder="1" applyAlignment="1">
      <x:alignment vertical="center" wrapText="1"/>
    </x:xf>
    <x:xf numFmtId="0" fontId="5" fillId="4" borderId="9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0" xfId="0" applyNumberFormat="1" applyFont="1" applyFill="1" applyBorder="1"/>
    <x:xf numFmtId="0" fontId="6" fillId="0" borderId="11" xfId="0" applyNumberFormat="1" applyFont="1" applyFill="1" applyBorder="1"/>
    <x:xf numFmtId="0" fontId="6" fillId="0" borderId="10" xfId="0" applyNumberFormat="1" applyFont="1" applyFill="1" applyBorder="1" applyAlignment="1">
      <x:alignment vertical="top"/>
    </x:xf>
    <x:xf numFmtId="0" fontId="6" fillId="0" borderId="11" xfId="0" applyNumberFormat="1" applyFont="1" applyFill="1" applyBorder="1" applyAlignment="1">
      <x:alignment vertical="top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3" borderId="10" xfId="0" applyNumberFormat="1" applyFont="1" applyFill="1" applyBorder="1" applyAlignment="1">
      <x:alignment vertical="top"/>
    </x:xf>
    <x:xf numFmtId="0" fontId="6" fillId="3" borderId="11" xfId="0" applyNumberFormat="1" applyFont="1" applyFill="1" applyBorder="1" applyAlignment="1">
      <x:alignment vertical="top"/>
    </x:xf>
    <x:xf numFmtId="0" fontId="7" fillId="3" borderId="10" xfId="0" applyNumberFormat="1" applyFont="1" applyFill="1" applyBorder="1" applyAlignment="1">
      <x:alignment vertical="top"/>
    </x:xf>
    <x:xf numFmtId="0" fontId="7" fillId="3" borderId="11" xfId="0" applyNumberFormat="1" applyFont="1" applyFill="1" applyBorder="1" applyAlignment="1">
      <x:alignment vertical="top"/>
    </x:xf>
    <x:xf numFmtId="0" fontId="7" fillId="3" borderId="10" xfId="0" applyNumberFormat="1" applyFont="1" applyFill="1" applyBorder="1" applyAlignment="1">
      <x:alignment horizontal="center" vertical="top"/>
    </x:xf>
    <x:xf numFmtId="0" fontId="7" fillId="3" borderId="11" xfId="0" applyNumberFormat="1" applyFont="1" applyFill="1" applyBorder="1" applyAlignment="1">
      <x:alignment horizontal="center" vertical="top"/>
    </x:xf>
    <x:xf numFmtId="0" fontId="0" fillId="5" borderId="0" xfId="0" applyNumberFormat="1" applyFont="1" applyFill="1" applyBorder="1"/>
    <x:xf numFmtId="0" fontId="0" fillId="5" borderId="12" xfId="0" applyNumberFormat="1" applyFont="1" applyFill="1" applyBorder="1"/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0" fontId="0" fillId="5" borderId="15" xfId="0" applyNumberFormat="1" applyFont="1" applyFill="1" applyBorder="1"/>
    <x:xf numFmtId="0" fontId="0" fillId="5" borderId="16" xfId="0" applyNumberFormat="1" applyFont="1" applyFill="1" applyBorder="1"/>
    <x:xf numFmtId="0" fontId="0" fillId="5" borderId="17" xfId="0" applyNumberFormat="1" applyFont="1" applyFill="1" applyBorder="1"/>
    <x:xf numFmtId="0" fontId="0" fillId="5" borderId="10" xfId="0" applyNumberFormat="1" applyFont="1" applyFill="1" applyBorder="1"/>
    <x:xf numFmtId="0" fontId="0" fillId="5" borderId="18" xfId="0" applyNumberFormat="1" applyFont="1" applyFill="1" applyBorder="1"/>
    <x:xf numFmtId="0" fontId="0" fillId="5" borderId="12" xfId="0" applyNumberFormat="1" applyFont="1" applyFill="1" applyBorder="1" applyAlignment="1">
      <x:alignment wrapText="1"/>
    </x:xf>
    <x:xf numFmtId="0" fontId="0" fillId="5" borderId="13" xfId="0" applyNumberFormat="1" applyFont="1" applyFill="1" applyBorder="1" applyAlignment="1">
      <x:alignment wrapText="1"/>
    </x:xf>
    <x:xf numFmtId="0" fontId="0" fillId="5" borderId="14" xfId="0" applyNumberFormat="1" applyFont="1" applyFill="1" applyBorder="1" applyAlignment="1">
      <x:alignment wrapText="1"/>
    </x:xf>
    <x:xf numFmtId="0" fontId="0" fillId="5" borderId="15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6" xfId="0" applyNumberFormat="1" applyFont="1" applyFill="1" applyBorder="1" applyAlignment="1">
      <x:alignment wrapText="1"/>
    </x:xf>
    <x:xf numFmtId="0" fontId="0" fillId="5" borderId="17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8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vertical="center" wrapText="1"/>
    </x:xf>
    <x:xf numFmtId="0" fontId="0" fillId="5" borderId="13" xfId="0" applyNumberFormat="1" applyFont="1" applyFill="1" applyBorder="1" applyAlignment="1">
      <x:alignment vertical="center" wrapText="1"/>
    </x:xf>
    <x:xf numFmtId="0" fontId="0" fillId="5" borderId="14" xfId="0" applyNumberFormat="1" applyFont="1" applyFill="1" applyBorder="1" applyAlignment="1">
      <x:alignment vertical="center" wrapText="1"/>
    </x:xf>
    <x:xf numFmtId="0" fontId="0" fillId="5" borderId="15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6" xfId="0" applyNumberFormat="1" applyFont="1" applyFill="1" applyBorder="1" applyAlignment="1">
      <x:alignment vertical="center" wrapText="1"/>
    </x:xf>
    <x:xf numFmtId="0" fontId="0" fillId="5" borderId="17" xfId="0" applyNumberFormat="1" applyFont="1" applyFill="1" applyBorder="1" applyAlignment="1">
      <x:alignment vertical="center" wrapText="1"/>
    </x:xf>
    <x:xf numFmtId="0" fontId="0" fillId="5" borderId="10" xfId="0" applyNumberFormat="1" applyFont="1" applyFill="1" applyBorder="1" applyAlignment="1">
      <x:alignment vertical="center" wrapText="1"/>
    </x:xf>
    <x:xf numFmtId="0" fontId="0" fillId="5" borderId="18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3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3" borderId="10" xfId="0" applyNumberFormat="1" applyFont="1" applyFill="1" applyBorder="1" applyAlignment="1">
      <x:alignment vertical="top" wrapText="1"/>
    </x:xf>
    <x:xf numFmtId="0" fontId="0" fillId="3" borderId="11" xfId="0" applyNumberFormat="1" applyFont="1" applyFill="1" applyBorder="1" applyAlignment="1">
      <x:alignment vertical="top" wrapText="1"/>
    </x:xf>
    <x:xf numFmtId="0" fontId="7" fillId="3" borderId="10" xfId="0" applyNumberFormat="1" applyFont="1" applyFill="1" applyBorder="1" applyAlignment="1">
      <x:alignment vertical="top" wrapText="1"/>
    </x:xf>
    <x:xf numFmtId="0" fontId="7" fillId="3" borderId="11" xfId="0" applyNumberFormat="1" applyFont="1" applyFill="1" applyBorder="1" applyAlignment="1">
      <x:alignment vertical="top" wrapText="1"/>
    </x:xf>
    <x:xf numFmtId="0" fontId="7" fillId="3" borderId="10" xfId="0" applyNumberFormat="1" applyFont="1" applyFill="1" applyBorder="1" applyAlignment="1">
      <x:alignment horizontal="center" vertical="top" wrapText="1"/>
    </x:xf>
    <x:xf numFmtId="0" fontId="7" fillId="3" borderId="11" xfId="0" applyNumberFormat="1" applyFont="1" applyFill="1" applyBorder="1" applyAlignment="1">
      <x:alignment horizontal="center" vertical="top" wrapText="1"/>
    </x:xf>
    <x:xf numFmtId="0" fontId="0" fillId="6" borderId="13" xfId="0" applyNumberFormat="1" applyFont="1" applyFill="1" applyBorder="1" applyAlignment="1">
      <x:alignment vertical="top" wrapText="1"/>
    </x:xf>
    <x:xf numFmtId="0" fontId="8" fillId="6" borderId="13" xfId="0" applyNumberFormat="1" applyFont="1" applyFill="1" applyBorder="1" applyAlignment="1">
      <x:alignment vertical="top" wrapText="1"/>
    </x:xf>
    <x:xf numFmtId="0" fontId="8" fillId="6" borderId="13" xfId="0" applyNumberFormat="1" applyFont="1" applyFill="1" applyBorder="1" applyAlignment="1">
      <x:alignment horizontal="center" vertical="top" wrapText="1"/>
    </x:xf>
    <x:xf numFmtId="0" fontId="9" fillId="2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2" fillId="4" borderId="0" xfId="0" applyNumberFormat="1" applyFont="1" applyFill="1" applyBorder="1"/>
    <x:xf numFmtId="0" fontId="13" fillId="3" borderId="1" xfId="0" applyNumberFormat="1" applyFont="1" applyFill="1" applyBorder="1" applyAlignment="1">
      <x:alignment vertical="center" wrapText="1"/>
    </x:xf>
    <x:xf numFmtId="0" fontId="13" fillId="3" borderId="2" xfId="0" applyNumberFormat="1" applyFont="1" applyFill="1" applyBorder="1" applyAlignment="1">
      <x:alignment vertical="center" wrapText="1"/>
    </x:xf>
    <x:xf numFmtId="0" fontId="13" fillId="3" borderId="3" xfId="0" applyNumberFormat="1" applyFont="1" applyFill="1" applyBorder="1" applyAlignment="1">
      <x:alignment vertical="center" wrapText="1"/>
    </x:xf>
    <x:xf numFmtId="0" fontId="13" fillId="3" borderId="4" xfId="0" applyNumberFormat="1" applyFont="1" applyFill="1" applyBorder="1" applyAlignment="1">
      <x:alignment vertical="center" wrapText="1"/>
    </x:xf>
    <x:xf numFmtId="0" fontId="13" fillId="3" borderId="5" xfId="0" applyNumberFormat="1" applyFont="1" applyFill="1" applyBorder="1" applyAlignment="1">
      <x:alignment vertical="center" wrapText="1"/>
    </x:xf>
    <x:xf numFmtId="0" fontId="13" fillId="3" borderId="6" xfId="0" applyNumberFormat="1" applyFont="1" applyFill="1" applyBorder="1" applyAlignment="1">
      <x:alignment vertical="center" wrapText="1"/>
    </x:xf>
    <x:xf numFmtId="0" fontId="14" fillId="4" borderId="7" xfId="0" applyNumberFormat="1" applyFont="1" applyFill="1" applyBorder="1" applyAlignment="1">
      <x:alignment vertical="center" wrapText="1"/>
    </x:xf>
    <x:xf numFmtId="0" fontId="14" fillId="4" borderId="8" xfId="0" applyNumberFormat="1" applyFont="1" applyFill="1" applyBorder="1" applyAlignment="1">
      <x:alignment vertical="center" wrapText="1"/>
    </x:xf>
    <x:xf numFmtId="0" fontId="14" fillId="4" borderId="9" xfId="0" applyNumberFormat="1" applyFont="1" applyFill="1" applyBorder="1" applyAlignment="1">
      <x:alignment vertical="center" wrapText="1"/>
    </x:xf>
    <x:xf numFmtId="0" fontId="15" fillId="0" borderId="10" xfId="0" applyNumberFormat="1" applyFont="1" applyFill="1" applyBorder="1" applyAlignment="1">
      <x:alignment vertical="top" wrapText="1"/>
    </x:xf>
    <x:xf numFmtId="0" fontId="16" fillId="3" borderId="10" xfId="0" applyNumberFormat="1" applyFont="1" applyFill="1" applyBorder="1" applyAlignment="1">
      <x:alignment horizontal="center" vertical="top"/>
    </x:xf>
    <x:xf numFmtId="0" fontId="11" fillId="5" borderId="12" xfId="0" applyNumberFormat="1" applyFont="1" applyFill="1" applyBorder="1" applyAlignment="1">
      <x:alignment vertical="center" wrapText="1"/>
    </x:xf>
    <x:xf numFmtId="0" fontId="11" fillId="5" borderId="13" xfId="0" applyNumberFormat="1" applyFont="1" applyFill="1" applyBorder="1" applyAlignment="1">
      <x:alignment vertical="center" wrapText="1"/>
    </x:xf>
    <x:xf numFmtId="0" fontId="11" fillId="5" borderId="14" xfId="0" applyNumberFormat="1" applyFont="1" applyFill="1" applyBorder="1" applyAlignment="1">
      <x:alignment vertical="center" wrapText="1"/>
    </x:xf>
    <x:xf numFmtId="0" fontId="15" fillId="0" borderId="11" xfId="0" applyNumberFormat="1" applyFont="1" applyFill="1" applyBorder="1" applyAlignment="1">
      <x:alignment vertical="top" wrapText="1"/>
    </x:xf>
    <x:xf numFmtId="0" fontId="16" fillId="3" borderId="11" xfId="0" applyNumberFormat="1" applyFont="1" applyFill="1" applyBorder="1" applyAlignment="1">
      <x:alignment horizontal="center" vertical="top"/>
    </x:xf>
    <x:xf numFmtId="0" fontId="11" fillId="5" borderId="15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vertical="center" wrapText="1"/>
    </x:xf>
    <x:xf numFmtId="0" fontId="11" fillId="5" borderId="16" xfId="0" applyNumberFormat="1" applyFont="1" applyFill="1" applyBorder="1" applyAlignment="1">
      <x:alignment vertical="center" wrapText="1"/>
    </x:xf>
    <x:xf numFmtId="0" fontId="11" fillId="5" borderId="17" xfId="0" applyNumberFormat="1" applyFont="1" applyFill="1" applyBorder="1" applyAlignment="1">
      <x:alignment vertical="center" wrapText="1"/>
    </x:xf>
    <x:xf numFmtId="0" fontId="11" fillId="5" borderId="10" xfId="0" applyNumberFormat="1" applyFont="1" applyFill="1" applyBorder="1" applyAlignment="1">
      <x:alignment vertical="center" wrapText="1"/>
    </x:xf>
    <x:xf numFmtId="0" fontId="11" fillId="5" borderId="18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/>
    <x:xf numFmtId="0" fontId="11" fillId="0" borderId="10" xfId="0" applyNumberFormat="1" applyFont="1" applyFill="1" applyBorder="1" applyAlignment="1">
      <x:alignment vertical="top" wrapText="1"/>
    </x:xf>
    <x:xf numFmtId="0" fontId="16" fillId="3" borderId="10" xfId="0" applyNumberFormat="1" applyFont="1" applyFill="1" applyBorder="1" applyAlignment="1">
      <x:alignment horizontal="center" vertical="top" wrapText="1"/>
    </x:xf>
    <x:xf numFmtId="0" fontId="11" fillId="0" borderId="11" xfId="0" applyNumberFormat="1" applyFont="1" applyFill="1" applyBorder="1" applyAlignment="1">
      <x:alignment vertical="top" wrapText="1"/>
    </x:xf>
    <x:xf numFmtId="0" fontId="16" fillId="3" borderId="11" xfId="0" applyNumberFormat="1" applyFont="1" applyFill="1" applyBorder="1" applyAlignment="1">
      <x:alignment horizontal="center" vertical="top" wrapText="1"/>
    </x:xf>
    <x:xf numFmtId="0" fontId="11" fillId="0" borderId="13" xfId="0" applyNumberFormat="1" applyFont="1" applyFill="1" applyBorder="1" applyAlignment="1">
      <x:alignment vertical="top" wrapText="1"/>
    </x:xf>
    <x:xf numFmtId="0" fontId="17" fillId="6" borderId="13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/>
    <x:xf numFmtId="200" fontId="6" fillId="0" borderId="0" xfId="0" applyNumberFormat="1" applyFont="1" applyFill="1" applyBorder="1"/>
    <x:xf numFmtId="200" fontId="6" fillId="0" borderId="10" xfId="0" applyNumberFormat="1" applyFont="1" applyFill="1" applyBorder="1"/>
    <x:xf numFmtId="200" fontId="6" fillId="0" borderId="11" xfId="0" applyNumberFormat="1" applyFont="1" applyFill="1" applyBorder="1"/>
    <x:xf numFmtId="200" fontId="6" fillId="0" borderId="10" xfId="0" applyNumberFormat="1" applyFont="1" applyFill="1" applyBorder="1" applyAlignment="1">
      <x:alignment vertical="top"/>
    </x:xf>
    <x:xf numFmtId="200" fontId="6" fillId="0" borderId="11" xfId="0" applyNumberFormat="1" applyFont="1" applyFill="1" applyBorder="1" applyAlignment="1">
      <x:alignment vertical="top"/>
    </x:xf>
    <x:xf numFmtId="200" fontId="6" fillId="0" borderId="10" xfId="0" applyNumberFormat="1" applyFont="1" applyFill="1" applyBorder="1" applyAlignment="1">
      <x:alignment vertical="top" wrapText="1"/>
    </x:xf>
    <x:xf numFmtId="200" fontId="6" fillId="0" borderId="11" xfId="0" applyNumberFormat="1" applyFont="1" applyFill="1" applyBorder="1" applyAlignment="1">
      <x:alignment vertical="top" wrapText="1"/>
    </x:xf>
    <x:xf numFmtId="0" fontId="6" fillId="3" borderId="10" xfId="0" applyNumberFormat="1" applyFont="1" applyFill="1" applyBorder="1" applyAlignment="1">
      <x:alignment vertical="top" wrapText="1"/>
    </x:xf>
    <x:xf numFmtId="0" fontId="6" fillId="3" borderId="11" xfId="0" applyNumberFormat="1" applyFont="1" applyFill="1" applyBorder="1" applyAlignment="1">
      <x:alignment vertical="top" wrapText="1"/>
    </x:xf>
    <x:xf numFmtId="0" fontId="6" fillId="6" borderId="11" xfId="0" applyNumberFormat="1" applyFont="1" applyFill="1" applyBorder="1" applyAlignment="1">
      <x:alignment vertical="top" wrapText="1"/>
    </x:xf>
    <x:xf numFmtId="0" fontId="8" fillId="6" borderId="11" xfId="0" applyNumberFormat="1" applyFont="1" applyFill="1" applyBorder="1" applyAlignment="1">
      <x:alignment vertical="top" wrapText="1"/>
    </x:xf>
    <x:xf numFmtId="0" fontId="6" fillId="5" borderId="11" xfId="0" applyNumberFormat="1" applyFont="1" applyFill="1" applyBorder="1" applyAlignment="1">
      <x:alignment vertical="top" wrapText="1"/>
    </x:xf>
    <x:xf numFmtId="0" fontId="18" fillId="5" borderId="11" xfId="0" applyNumberFormat="1" applyFont="1" applyFill="1" applyBorder="1" applyAlignment="1">
      <x:alignment vertical="top" wrapText="1"/>
    </x:xf>
    <x:xf numFmtId="0" fontId="6" fillId="7" borderId="11" xfId="0" applyNumberFormat="1" applyFont="1" applyFill="1" applyBorder="1" applyAlignment="1">
      <x:alignment vertical="top" wrapText="1"/>
    </x:xf>
    <x:xf numFmtId="0" fontId="19" fillId="7" borderId="11" xfId="0" applyNumberFormat="1" applyFont="1" applyFill="1" applyBorder="1" applyAlignment="1">
      <x:alignment vertical="top" wrapText="1"/>
    </x:xf>
    <x:xf numFmtId="200" fontId="15" fillId="0" borderId="10" xfId="0" applyNumberFormat="1" applyFont="1" applyFill="1" applyBorder="1" applyAlignment="1">
      <x:alignment vertical="top" wrapText="1"/>
    </x:xf>
    <x:xf numFmtId="0" fontId="16" fillId="3" borderId="10" xfId="0" applyNumberFormat="1" applyFont="1" applyFill="1" applyBorder="1" applyAlignment="1">
      <x:alignment vertical="top" wrapText="1"/>
    </x:xf>
    <x:xf numFmtId="200" fontId="15" fillId="0" borderId="11" xfId="0" applyNumberFormat="1" applyFont="1" applyFill="1" applyBorder="1" applyAlignment="1">
      <x:alignment vertical="top" wrapText="1"/>
    </x:xf>
    <x:xf numFmtId="0" fontId="16" fillId="3" borderId="11" xfId="0" applyNumberFormat="1" applyFont="1" applyFill="1" applyBorder="1" applyAlignment="1">
      <x:alignment vertical="top" wrapText="1"/>
    </x:xf>
    <x:xf numFmtId="0" fontId="17" fillId="6" borderId="11" xfId="0" applyNumberFormat="1" applyFont="1" applyFill="1" applyBorder="1" applyAlignment="1">
      <x:alignment vertical="top" wrapText="1"/>
    </x:xf>
    <x:xf numFmtId="0" fontId="20" fillId="5" borderId="11" xfId="0" applyNumberFormat="1" applyFont="1" applyFill="1" applyBorder="1" applyAlignment="1">
      <x:alignment vertical="top" wrapText="1"/>
    </x:xf>
    <x:xf numFmtId="0" fontId="21" fillId="7" borderId="11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horizontal="center" vertical="top"/>
    </x:xf>
    <x:xf numFmtId="200" fontId="6" fillId="0" borderId="10" xfId="0" applyNumberFormat="1" applyFont="1" applyFill="1" applyBorder="1" applyAlignment="1">
      <x:alignment horizontal="center" vertical="top"/>
    </x:xf>
    <x:xf numFmtId="0" fontId="6" fillId="0" borderId="11" xfId="0" applyNumberFormat="1" applyFont="1" applyFill="1" applyBorder="1" applyAlignment="1">
      <x:alignment horizontal="center" vertical="top"/>
    </x:xf>
    <x:xf numFmtId="200" fontId="6" fillId="0" borderId="11" xfId="0" applyNumberFormat="1" applyFont="1" applyFill="1" applyBorder="1" applyAlignment="1">
      <x:alignment horizontal="center" vertical="top"/>
    </x:xf>
    <x:xf numFmtId="0" fontId="15" fillId="0" borderId="10" xfId="0" applyNumberFormat="1" applyFont="1" applyFill="1" applyBorder="1" applyAlignment="1">
      <x:alignment horizontal="center" vertical="top"/>
    </x:xf>
    <x:xf numFmtId="200" fontId="15" fillId="0" borderId="10" xfId="0" applyNumberFormat="1" applyFont="1" applyFill="1" applyBorder="1" applyAlignment="1">
      <x:alignment horizontal="center" vertical="top"/>
    </x:xf>
    <x:xf numFmtId="0" fontId="15" fillId="0" borderId="11" xfId="0" applyNumberFormat="1" applyFont="1" applyFill="1" applyBorder="1" applyAlignment="1">
      <x:alignment horizontal="center" vertical="top"/>
    </x:xf>
    <x:xf numFmtId="200" fontId="15" fillId="0" borderId="11" xfId="0" applyNumberFormat="1" applyFont="1" applyFill="1" applyBorder="1" applyAlignment="1">
      <x:alignment horizontal="center" vertical="top"/>
    </x:xf>
    <x:xf numFmtId="0" fontId="0" fillId="5" borderId="11" xfId="0" applyNumberFormat="1" applyFont="1" applyFill="1" applyBorder="1"/>
    <x:xf numFmtId="0" fontId="0" fillId="5" borderId="11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vertical="center" wrapText="1"/>
    </x:xf>
    <x:xf numFmtId="0" fontId="14" fillId="4" borderId="0" xfId="0" applyNumberFormat="1" applyFont="1" applyFill="1" applyBorder="1"/>
    <x:xf numFmtId="0" fontId="15" fillId="0" borderId="10" xfId="0" applyNumberFormat="1" applyFont="1" applyFill="1" applyBorder="1" applyAlignment="1">
      <x:alignment vertical="top"/>
    </x:xf>
    <x:xf numFmtId="0" fontId="15" fillId="0" borderId="11" xfId="0" applyNumberFormat="1" applyFont="1" applyFill="1" applyBorder="1" applyAlignment="1">
      <x:alignment vertical="top"/>
    </x:xf>
    <x:xf numFmtId="0" fontId="11" fillId="5" borderId="1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0B6E4F"/>
      </x:font>
      <x:fill>
        <x:patternFill patternType="solid">
          <x:bgColor rgb="FFEAF5F0"/>
        </x:patternFill>
      </x:fill>
    </x:dxf>
    <x:dxf>
      <x:font>
        <x:b/>
        <x:color rgb="FFD89B2B"/>
      </x:font>
      <x:fill>
        <x:patternFill patternType="solid">
          <x:bgColor rgb="FFFFF4D6"/>
        </x:patternFill>
      </x:fill>
    </x:dxf>
    <x:dxf>
      <x:font>
        <x:b/>
        <x:color rgb="FFB54747"/>
      </x:font>
      <x:fill>
        <x:patternFill patternType="solid">
          <x:bgColor rgb="FFFCEAEA"/>
        </x:patternFill>
      </x:fill>
    </x:dxf>
    <x:dxf>
      <x:font>
        <x:b/>
        <x:color rgb="FF0B6E4F"/>
      </x:font>
      <x:fill>
        <x:patternFill patternType="solid">
          <x:bgColor rgb="FFEAF5F0"/>
        </x:patternFill>
      </x:fill>
    </x:dxf>
    <x:dxf>
      <x:font>
        <x:b/>
        <x:color rgb="FFD89B2B"/>
      </x:font>
      <x:fill>
        <x:patternFill patternType="solid">
          <x:bgColor rgb="FFFFF4D6"/>
        </x:patternFill>
      </x:fill>
    </x:dxf>
    <x:dxf>
      <x:font>
        <x:b/>
        <x:color rgb="FFB54747"/>
      </x:font>
      <x:fill>
        <x:patternFill patternType="solid">
          <x:bgColor rgb="FFFCEAEA"/>
        </x:patternFill>
      </x:fill>
    </x:dxf>
    <x:dxf>
      <x:font>
        <x:b/>
        <x:color rgb="FF0B6E4F"/>
      </x:font>
      <x:fill>
        <x:patternFill patternType="solid">
          <x:bgColor rgb="FFEAF5F0"/>
        </x:patternFill>
      </x:fill>
    </x:dxf>
    <x:dxf>
      <x:font>
        <x:b/>
        <x:color rgb="FFB54747"/>
      </x:font>
      <x:fill>
        <x:patternFill patternType="solid">
          <x:bgColor rgb="FFFCEA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a6cdf6d30447ab" /><Relationship Type="http://schemas.openxmlformats.org/officeDocument/2006/relationships/theme" Target="/xl/theme/theme1.xml" Id="R919a7ec69ca340a5" /><Relationship Type="http://schemas.openxmlformats.org/officeDocument/2006/relationships/sharedStrings" Target="/xl/sharedStrings.xml" Id="R2c24e63ef78442da" /><Relationship Type="http://schemas.openxmlformats.org/officeDocument/2006/relationships/worksheet" Target="/xl/worksheets/sheet1.xml" Id="R0474ee203ba94562" /><Relationship Type="http://schemas.openxmlformats.org/officeDocument/2006/relationships/worksheet" Target="/xl/worksheets/sheet2.xml" Id="Re601e005339d4480" /><Relationship Type="http://schemas.openxmlformats.org/officeDocument/2006/relationships/worksheet" Target="/xl/worksheets/sheet3.xml" Id="Re39863aad65e4bf4" /><Relationship Type="http://schemas.openxmlformats.org/officeDocument/2006/relationships/worksheet" Target="/xl/worksheets/sheet4.xml" Id="Rffac6b4586754afd" /><Relationship Type="http://schemas.openxmlformats.org/officeDocument/2006/relationships/worksheet" Target="/xl/worksheets/sheet5.xml" Id="Rb029762d4f104dd8" /><Relationship Type="http://schemas.openxmlformats.org/officeDocument/2006/relationships/worksheet" Target="/xl/worksheets/sheet6.xml" Id="R03ce2d2ac97a4aa8" /></Relationships>
</file>

<file path=xl/tables/table1.xml><?xml version="1.0" encoding="utf-8"?>
<x:table xmlns:x="http://schemas.openxmlformats.org/spreadsheetml/2006/main" id="1" name="CandidateLanesTable" displayName="CandidateLanesTable" ref="A4:K10" headerRowCount="1" totalsRowCount="0" totalsRowShown="0">
  <x:tableColumns count="11">
    <x:tableColumn id="1" name="Candidate pattern"/>
    <x:tableColumn id="2" name="Primary posts"/>
    <x:tableColumn id="3" name="% of 22"/>
    <x:tableColumn id="4" name="Supporting Post IDs"/>
    <x:tableColumn id="5" name="Responsibility pattern"/>
    <x:tableColumn id="6" name="Recurring skill bundle"/>
    <x:tableColumn id="7" name="Why distinct / not distinct"/>
    <x:tableColumn id="8" name="Candidate implication"/>
    <x:tableColumn id="9" name="Evidence strength"/>
    <x:tableColumn id="10" name="Treatment"/>
    <x:tableColumn id="11" name="Decision rationa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stCodingTable" displayName="PostCodingTable" ref="A4:O26" headerRowCount="1" totalsRowCount="0" totalsRowShown="0">
  <x:tableColumns count="15">
    <x:tableColumn id="1" name="Post ID"/>
    <x:tableColumn id="2" name="Job title"/>
    <x:tableColumn id="3" name="Primary pattern"/>
    <x:tableColumn id="4" name="Secondary relevance"/>
    <x:tableColumn id="5" name="Pack treatment"/>
    <x:tableColumn id="6" name="Confidence"/>
    <x:tableColumn id="7" name="Responsibility signal"/>
    <x:tableColumn id="8" name="Languages"/>
    <x:tableColumn id="9" name="Frameworks / libraries"/>
    <x:tableColumn id="10" name="Tools / platforms"/>
    <x:tableColumn id="11" name="All skill evidence"/>
    <x:tableColumn id="12" name="Lane rationale"/>
    <x:tableColumn id="13" name="Source board"/>
    <x:tableColumn id="14" name="Source URL"/>
    <x:tableColumn id="15" name="Data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killSignalsTable" displayName="SkillSignalsTable" ref="A4:E31" headerRowCount="1" totalsRowCount="0" totalsRowShown="0">
  <x:tableColumns count="5">
    <x:tableColumn id="1" name="Primary group"/>
    <x:tableColumn id="2" name="Skill / tool"/>
    <x:tableColumn id="3" name="Explicit mentions"/>
    <x:tableColumn id="4" name="Primary posts"/>
    <x:tableColumn id="5" name="Share of group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cisionLogTable" displayName="DecisionLogTable" ref="A4:E13" headerRowCount="1" totalsRowCount="0" totalsRowShown="0">
  <x:tableColumns count="5">
    <x:tableColumn id="1" name="Decision ID"/>
    <x:tableColumn id="2" name="Hypothesis"/>
    <x:tableColumn id="3" name="Decision"/>
    <x:tableColumn id="4" name="Reason"/>
    <x:tableColumn id="5" name="Final place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9f8b59ffd54e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a9464ec0ca49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146de6415044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1de148fb6340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20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34" customHeight="1">
      <x:c r="A1" s="98" t="str">
        <x:v>Software Engineering Career Lane Analysis V1</x:v>
      </x:c>
      <x:c r="B1" s="98"/>
      <x:c r="C1" s="98"/>
      <x:c r="D1" s="98"/>
      <x:c r="E1" s="98"/>
      <x:c r="F1" s="98"/>
      <x:c r="G1" s="98"/>
      <x:c r="H1" s="98"/>
      <x:c r="I1" s="98"/>
      <x:c r="J1" s="98"/>
    </x:row>
    <x:row r="2" ht="30" customHeight="1">
      <x:c r="A2" s="99" t="str">
        <x:v>Lane derivation from the 22 retained Software Engineering posts. Status: proposed for approval; no lane count was fixed in advance.</x:v>
      </x:c>
      <x:c r="B2" s="99"/>
      <x:c r="C2" s="99"/>
      <x:c r="D2" s="99"/>
      <x:c r="E2" s="99"/>
      <x:c r="F2" s="99"/>
      <x:c r="G2" s="99"/>
      <x:c r="H2" s="99"/>
      <x:c r="I2" s="99"/>
      <x:c r="J2" s="99"/>
    </x:row>
    <x:row r="3">
      <x:c r="A3" s="100"/>
      <x:c r="B3" s="100"/>
      <x:c r="C3" s="100"/>
      <x:c r="D3" s="100"/>
      <x:c r="E3" s="100"/>
      <x:c r="F3" s="100"/>
      <x:c r="G3" s="100"/>
      <x:c r="H3" s="100"/>
      <x:c r="I3" s="100"/>
      <x:c r="J3" s="100"/>
    </x:row>
    <x:row r="4">
      <x:c r="A4" s="101" t="str">
        <x:v>Proposed outcome</x:v>
      </x:c>
      <x:c r="B4" s="101"/>
      <x:c r="C4" s="101"/>
      <x:c r="D4" s="101"/>
      <x:c r="E4" s="101"/>
      <x:c r="F4" s="101"/>
      <x:c r="G4" s="101"/>
      <x:c r="H4" s="101"/>
      <x:c r="I4" s="101"/>
      <x:c r="J4" s="101"/>
    </x:row>
    <x:row r="5" ht="42" customHeight="1">
      <x:c r="A5" s="102" t="str">
        <x:v>Three evidence-supported core lanes are proposed: Application &amp; Full-Stack Development; Front-End &amp; Web Interface Development; and Back-End &amp; Systems Integration Development. AI, Data &amp; Cloud-Adjacent Engineering is better presented as an exploratory specialisation. General/graduate roles belong in a shared foundation and entry-route section rather than as a destination lane.</x:v>
      </x:c>
      <x:c r="B5" s="103"/>
      <x:c r="C5" s="103"/>
      <x:c r="D5" s="103"/>
      <x:c r="E5" s="103"/>
      <x:c r="F5" s="103"/>
      <x:c r="G5" s="103"/>
      <x:c r="H5" s="103"/>
      <x:c r="I5" s="103"/>
      <x:c r="J5" s="104"/>
    </x:row>
    <x:row r="6" ht="42" customHeight="1">
      <x:c r="A6" s="105"/>
      <x:c r="B6" s="106"/>
      <x:c r="C6" s="106"/>
      <x:c r="D6" s="106"/>
      <x:c r="E6" s="106"/>
      <x:c r="F6" s="106"/>
      <x:c r="G6" s="106"/>
      <x:c r="H6" s="106"/>
      <x:c r="I6" s="106"/>
      <x:c r="J6" s="107"/>
    </x:row>
    <x:row r="7">
      <x:c r="A7" s="100"/>
      <x:c r="B7" s="100"/>
      <x:c r="C7" s="100"/>
      <x:c r="D7" s="100"/>
      <x:c r="E7" s="100"/>
      <x:c r="F7" s="100"/>
      <x:c r="G7" s="100"/>
      <x:c r="H7" s="100"/>
      <x:c r="I7" s="100"/>
      <x:c r="J7" s="100"/>
    </x:row>
    <x:row r="8" ht="30" customHeight="1">
      <x:c r="A8" s="108" t="str">
        <x:v>Measure</x:v>
      </x:c>
      <x:c r="B8" s="109"/>
      <x:c r="C8" s="110" t="str">
        <x:v>Result</x:v>
      </x:c>
      <x:c r="D8" s="108" t="str">
        <x:v>Interpretation</x:v>
      </x:c>
      <x:c r="E8" s="109"/>
      <x:c r="F8" s="109"/>
      <x:c r="G8" s="109"/>
      <x:c r="H8" s="109"/>
      <x:c r="I8" s="109"/>
      <x:c r="J8" s="110"/>
    </x:row>
    <x:row r="9" ht="25" customHeight="1">
      <x:c r="A9" s="111" t="str">
        <x:v>Retained SE posts</x:v>
      </x:c>
      <x:c r="B9" s="111"/>
      <x:c r="C9" s="112" t="n">
        <x:f>COUNTA('Post Coding'!$A$5:$A$26)</x:f>
        <x:v>22</x:v>
      </x:c>
      <x:c r="D9" s="113" t="str">
        <x:v>The sample does not justify four equal lanes. It supports three peer lanes, one smaller exploratory specialisation, and one shared entry pathway. Vendor ecosystems such as Microsoft/.NET and Java enterprise are useful stack variants inside broader work patterns—not separate destinations. The pack should let the lane count and page budget follow this evidence.</x:v>
      </x:c>
      <x:c r="E9" s="114"/>
      <x:c r="F9" s="114"/>
      <x:c r="G9" s="114"/>
      <x:c r="H9" s="114"/>
      <x:c r="I9" s="114"/>
      <x:c r="J9" s="115"/>
    </x:row>
    <x:row r="10" ht="25" customHeight="1">
      <x:c r="A10" s="116" t="str">
        <x:v>Core lanes proposed</x:v>
      </x:c>
      <x:c r="B10" s="116"/>
      <x:c r="C10" s="117" t="n">
        <x:f>COUNTIF('Candidate Lanes'!$J$5:$J$10,"Keep as core lane")</x:f>
        <x:v>3</x:v>
      </x:c>
      <x:c r="D10" s="118"/>
      <x:c r="E10" s="119"/>
      <x:c r="F10" s="119"/>
      <x:c r="G10" s="119"/>
      <x:c r="H10" s="119"/>
      <x:c r="I10" s="119"/>
      <x:c r="J10" s="120"/>
    </x:row>
    <x:row r="11" ht="25" customHeight="1">
      <x:c r="A11" s="116" t="str">
        <x:v>Exploratory specialisations</x:v>
      </x:c>
      <x:c r="B11" s="116"/>
      <x:c r="C11" s="117" t="n">
        <x:f>COUNTIF('Candidate Lanes'!$J$5:$J$10,"Present as exploratory specialisation")</x:f>
        <x:v>1</x:v>
      </x:c>
      <x:c r="D11" s="118"/>
      <x:c r="E11" s="119"/>
      <x:c r="F11" s="119"/>
      <x:c r="G11" s="119"/>
      <x:c r="H11" s="119"/>
      <x:c r="I11" s="119"/>
      <x:c r="J11" s="120"/>
    </x:row>
    <x:row r="12" ht="25" customHeight="1">
      <x:c r="A12" s="116" t="str">
        <x:v>Ambiguous posts withheld from lane definition</x:v>
      </x:c>
      <x:c r="B12" s="116"/>
      <x:c r="C12" s="117" t="n">
        <x:f>COUNTIF('Post Coding'!$C$5:$C$26,"Ambiguous lane evidence")</x:f>
        <x:v>1</x:v>
      </x:c>
      <x:c r="D12" s="121"/>
      <x:c r="E12" s="122"/>
      <x:c r="F12" s="122"/>
      <x:c r="G12" s="122"/>
      <x:c r="H12" s="122"/>
      <x:c r="I12" s="122"/>
      <x:c r="J12" s="123"/>
    </x:row>
    <x:row r="13">
      <x:c r="A13" s="100"/>
      <x:c r="B13" s="100"/>
      <x:c r="C13" s="100"/>
      <x:c r="D13" s="100"/>
      <x:c r="E13" s="100"/>
      <x:c r="F13" s="100"/>
      <x:c r="G13" s="100"/>
      <x:c r="H13" s="100"/>
      <x:c r="I13" s="100"/>
      <x:c r="J13" s="100"/>
    </x:row>
    <x:row r="14">
      <x:c r="A14" s="124" t="str">
        <x:v>Approval recommendation</x:v>
      </x:c>
      <x:c r="B14" s="124"/>
      <x:c r="C14" s="124"/>
      <x:c r="D14" s="124"/>
      <x:c r="E14" s="124"/>
      <x:c r="F14" s="124"/>
      <x:c r="G14" s="124"/>
      <x:c r="H14" s="124"/>
      <x:c r="I14" s="124"/>
      <x:c r="J14" s="124"/>
    </x:row>
    <x:row r="15" ht="54" customHeight="1">
      <x:c r="A15" s="125" t="str">
        <x:v>1</x:v>
      </x:c>
      <x:c r="B15" s="126" t="str">
        <x:v>Keep</x:v>
      </x:c>
      <x:c r="C15" s="125" t="str">
        <x:v>Application &amp; Full-Stack Development</x:v>
      </x:c>
      <x:c r="D15" s="125" t="str">
        <x:v>Strong</x:v>
      </x:c>
      <x:c r="E15" s="125" t="str">
        <x:v>Build the first golden lane section from this route because it has the largest and clearest supporting group.</x:v>
      </x:c>
      <x:c r="F15" s="100"/>
      <x:c r="G15" s="100"/>
      <x:c r="H15" s="100"/>
      <x:c r="I15" s="100"/>
      <x:c r="J15" s="100"/>
    </x:row>
    <x:row r="16" ht="54" customHeight="1">
      <x:c r="A16" s="127" t="str">
        <x:v>2</x:v>
      </x:c>
      <x:c r="B16" s="128" t="str">
        <x:v>Keep</x:v>
      </x:c>
      <x:c r="C16" s="127" t="str">
        <x:v>Front-End &amp; Web Interface Development</x:v>
      </x:c>
      <x:c r="D16" s="127" t="str">
        <x:v>Moderate</x:v>
      </x:c>
      <x:c r="E16" s="127" t="str">
        <x:v>Retain as a peer lane because client-side depth changes skill priorities and evidence.</x:v>
      </x:c>
      <x:c r="F16" s="100"/>
      <x:c r="G16" s="100"/>
      <x:c r="H16" s="100"/>
      <x:c r="I16" s="100"/>
      <x:c r="J16" s="100"/>
    </x:row>
    <x:row r="17" ht="54" customHeight="1">
      <x:c r="A17" s="127" t="str">
        <x:v>3</x:v>
      </x:c>
      <x:c r="B17" s="128" t="str">
        <x:v>Keep</x:v>
      </x:c>
      <x:c r="C17" s="127" t="str">
        <x:v>Back-End &amp; Systems Integration Development</x:v>
      </x:c>
      <x:c r="D17" s="127" t="str">
        <x:v>Moderate</x:v>
      </x:c>
      <x:c r="E17" s="127" t="str">
        <x:v>Retain as a peer lane because service, database and integration work changes project evidence.</x:v>
      </x:c>
      <x:c r="F17" s="100"/>
      <x:c r="G17" s="100"/>
      <x:c r="H17" s="100"/>
      <x:c r="I17" s="100"/>
      <x:c r="J17" s="100"/>
    </x:row>
    <x:row r="18" ht="54" customHeight="1">
      <x:c r="A18" s="129" t="str">
        <x:v>4</x:v>
      </x:c>
      <x:c r="B18" s="130" t="str">
        <x:v>Variant</x:v>
      </x:c>
      <x:c r="C18" s="129" t="str">
        <x:v>AI, Data &amp; Cloud-Adjacent Engineering</x:v>
      </x:c>
      <x:c r="D18" s="129" t="str">
        <x:v>Moderate–limited</x:v>
      </x:c>
      <x:c r="E18" s="129" t="str">
        <x:v>Present after the shared foundations as an exploratory specialisation, not as an equal starting lane.</x:v>
      </x:c>
      <x:c r="F18" s="100"/>
      <x:c r="G18" s="100"/>
      <x:c r="H18" s="100"/>
      <x:c r="I18" s="100"/>
      <x:c r="J18" s="100"/>
    </x:row>
  </x:sheetData>
  <x:mergeCells>
    <x:mergeCell ref="A1:J1"/>
    <x:mergeCell ref="A2:J2"/>
    <x:mergeCell ref="A4:J4"/>
    <x:mergeCell ref="A5:J6"/>
    <x:mergeCell ref="A8:B8"/>
    <x:mergeCell ref="A9:B9"/>
    <x:mergeCell ref="A10:B10"/>
    <x:mergeCell ref="A11:B11"/>
    <x:mergeCell ref="A12:B12"/>
    <x:mergeCell ref="D8:J8"/>
    <x:mergeCell ref="D9:J12"/>
    <x:mergeCell ref="A14:J14"/>
    <x:mergeCell ref="E15:J15"/>
    <x:mergeCell ref="E16:J16"/>
    <x:mergeCell ref="E17:J17"/>
    <x:mergeCell ref="E18:J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10" hidden="0" customWidth="1"/>
    <x:col min="4" max="4" width="34" hidden="0" customWidth="1"/>
    <x:col min="5" max="5" width="43" hidden="0" customWidth="1"/>
    <x:col min="6" max="6" width="38" hidden="0" customWidth="1"/>
    <x:col min="7" max="7" width="40" hidden="0" customWidth="1"/>
    <x:col min="8" max="8" width="40" hidden="0" customWidth="1"/>
    <x:col min="9" max="9" width="17" hidden="0" customWidth="1"/>
    <x:col min="10" max="10" width="30" hidden="0" customWidth="1"/>
    <x:col min="11" max="11" width="44" hidden="0" customWidth="1"/>
  </x:cols>
  <x:sheetData>
    <x:row r="1" ht="34" customHeight="1">
      <x:c r="A1" s="98" t="str">
        <x:v>Candidate lane decisions</x:v>
      </x:c>
      <x:c r="B1" s="98"/>
      <x:c r="C1" s="98"/>
      <x:c r="D1" s="98"/>
      <x:c r="E1" s="98"/>
      <x:c r="F1" s="98"/>
      <x:c r="G1" s="98"/>
      <x:c r="H1" s="98"/>
      <x:c r="I1" s="98"/>
      <x:c r="J1" s="98"/>
      <x:c r="K1" s="98"/>
    </x:row>
    <x:row r="2" ht="30" customHeight="1">
      <x:c r="A2" s="99" t="str">
        <x:v>Primary post counts are formula-driven from Post Coding. Supporting posts may overlap where the same role contains more than one layer.</x:v>
      </x:c>
      <x:c r="B2" s="99"/>
      <x:c r="C2" s="99"/>
      <x:c r="D2" s="99"/>
      <x:c r="E2" s="99"/>
      <x:c r="F2" s="99"/>
      <x:c r="G2" s="99"/>
      <x:c r="H2" s="99"/>
      <x:c r="I2" s="99"/>
      <x:c r="J2" s="99"/>
      <x:c r="K2" s="99"/>
    </x:row>
    <x:row r="3">
      <x:c r="A3" s="100"/>
      <x:c r="B3" s="100"/>
      <x:c r="C3" s="100"/>
      <x:c r="D3" s="100"/>
      <x:c r="E3" s="100"/>
      <x:c r="F3" s="100"/>
      <x:c r="G3" s="100"/>
      <x:c r="H3" s="100"/>
      <x:c r="I3" s="100"/>
      <x:c r="J3" s="100"/>
      <x:c r="K3" s="100"/>
    </x:row>
    <x:row r="4" ht="30" customHeight="1">
      <x:c r="A4" s="108" t="str">
        <x:v>Candidate pattern</x:v>
      </x:c>
      <x:c r="B4" s="109" t="str">
        <x:v>Primary posts</x:v>
      </x:c>
      <x:c r="C4" s="109" t="str">
        <x:v>% of 22</x:v>
      </x:c>
      <x:c r="D4" s="109" t="str">
        <x:v>Supporting Post IDs</x:v>
      </x:c>
      <x:c r="E4" s="109" t="str">
        <x:v>Responsibility pattern</x:v>
      </x:c>
      <x:c r="F4" s="109" t="str">
        <x:v>Recurring skill bundle</x:v>
      </x:c>
      <x:c r="G4" s="109" t="str">
        <x:v>Why distinct / not distinct</x:v>
      </x:c>
      <x:c r="H4" s="109" t="str">
        <x:v>Candidate implication</x:v>
      </x:c>
      <x:c r="I4" s="109" t="str">
        <x:v>Evidence strength</x:v>
      </x:c>
      <x:c r="J4" s="109" t="str">
        <x:v>Treatment</x:v>
      </x:c>
      <x:c r="K4" s="110" t="str">
        <x:v>Decision rationale</x:v>
      </x:c>
    </x:row>
    <x:row r="5" ht="88" customHeight="1">
      <x:c r="A5" s="111" t="str">
        <x:v>Application &amp; Full-Stack Development</x:v>
      </x:c>
      <x:c r="B5" s="111" t="n">
        <x:f>COUNTIF('Post Coding'!$C$5:$C$26,A5)</x:f>
        <x:v>9</x:v>
      </x:c>
      <x:c r="C5" s="147" t="n">
        <x:f>B5/22</x:f>
        <x:v>0.4090909090909091</x:v>
      </x:c>
      <x:c r="D5" s="111" t="str">
        <x:v>SE-001, SE-005, SE-011, SE-013, SE-015, SE-016, SE-022, SE-024, SE-030</x:v>
      </x:c>
      <x:c r="E5" s="111" t="str">
        <x:v>Build and maintain business, web or mobile applications across user interface, application logic, APIs and data.</x:v>
      </x:c>
      <x:c r="F5" s="111" t="str">
        <x:v>SQL; C#; JavaScript; .NET; HTML/CSS; React/Angular; Git; SQL Server/Azure variants</x:v>
      </x:c>
      <x:c r="G5" s="111" t="str">
        <x:v>End-to-end application responsibility rather than deep specialisation in only the client or server layer.</x:v>
      </x:c>
      <x:c r="H5" s="111" t="str">
        <x:v>Choose an ecosystem, build one integrated application, and target developer/software engineer/application/full-stack titles.</x:v>
      </x:c>
      <x:c r="I5" s="111" t="str">
        <x:v>Strong</x:v>
      </x:c>
      <x:c r="J5" s="148" t="str">
        <x:v>Keep as core lane</x:v>
      </x:c>
      <x:c r="K5" s="111" t="str">
        <x:v>Nine primary posts plus clear overlap with the other layers. Microsoft/.NET is a common stack variant, not a separate lane.</x:v>
      </x:c>
    </x:row>
    <x:row r="6" ht="88" customHeight="1">
      <x:c r="A6" s="116" t="str">
        <x:v>Front-End &amp; Web Interface Development</x:v>
      </x:c>
      <x:c r="B6" s="116" t="n">
        <x:f>COUNTIF('Post Coding'!$C$5:$C$26,A6)</x:f>
        <x:v>3</x:v>
      </x:c>
      <x:c r="C6" s="149" t="n">
        <x:f>B6/22</x:f>
        <x:v>0.13636363636363635</x:v>
      </x:c>
      <x:c r="D6" s="116" t="str">
        <x:v>SE-007, SE-018, SE-029 (SE-030 secondary)</x:v>
      </x:c>
      <x:c r="E6" s="116" t="str">
        <x:v>Build browser-facing interfaces, web content, single-page applications, reusable components and accessible user experiences.</x:v>
      </x:c>
      <x:c r="F6" s="116" t="str">
        <x:v>JavaScript; HTML/CSS; TypeScript; React; Angular/Vue; APIs; state management; testing/accessibility</x:v>
      </x:c>
      <x:c r="G6" s="116" t="str">
        <x:v>Client-side depth, interface quality and browser behaviour materially change the learning and evidence plan.</x:v>
      </x:c>
      <x:c r="H6" s="116" t="str">
        <x:v>Build polished interfaces and target junior web, front-end and React/software-engineer roles.</x:v>
      </x:c>
      <x:c r="I6" s="116" t="str">
        <x:v>Moderate</x:v>
      </x:c>
      <x:c r="J6" s="150" t="str">
        <x:v>Keep as core lane</x:v>
      </x:c>
      <x:c r="K6" s="116" t="str">
        <x:v>Three dedicated posts plus full-stack overlap. The dedicated roles show a coherent responsibility and evidence pattern.</x:v>
      </x:c>
    </x:row>
    <x:row r="7" ht="88" customHeight="1">
      <x:c r="A7" s="116" t="str">
        <x:v>Back-End &amp; Systems Integration Development</x:v>
      </x:c>
      <x:c r="B7" s="116" t="n">
        <x:f>COUNTIF('Post Coding'!$C$5:$C$26,A7)</x:f>
        <x:v>3</x:v>
      </x:c>
      <x:c r="C7" s="149" t="n">
        <x:f>B7/22</x:f>
        <x:v>0.13636363636363635</x:v>
      </x:c>
      <x:c r="D7" s="116" t="str">
        <x:v>SE-020, SE-021, SE-027 (SE-001, SE-022, SE-026 secondary)</x:v>
      </x:c>
      <x:c r="E7" s="116" t="str">
        <x:v>Build server-side services, APIs, integrations and database-backed systems, often with Linux or cloud exposure.</x:v>
      </x:c>
      <x:c r="F7" s="116" t="str">
        <x:v>SQL; Git; Java/Spring/Hibernate; PHP/MySQL; APIs; Linux; Postman; AWS; testing/debugging</x:v>
      </x:c>
      <x:c r="G7" s="116" t="str">
        <x:v>Server-side service, database and integration depth differs from interface-led work and changes project evidence.</x:v>
      </x:c>
      <x:c r="H7" s="116" t="str">
        <x:v>Build an API or service with a database and target software developer, Java, PHP or back-end-oriented roles.</x:v>
      </x:c>
      <x:c r="I7" s="116" t="str">
        <x:v>Moderate</x:v>
      </x:c>
      <x:c r="J7" s="150" t="str">
        <x:v>Keep as core lane</x:v>
      </x:c>
      <x:c r="K7" s="116" t="str">
        <x:v>Three dedicated posts and several overlapping application/system roles support the route; Java and PHP remain stack variants.</x:v>
      </x:c>
    </x:row>
    <x:row r="8" ht="88" customHeight="1">
      <x:c r="A8" s="116" t="str">
        <x:v>AI, Data &amp; Cloud-Adjacent Engineering</x:v>
      </x:c>
      <x:c r="B8" s="116" t="n">
        <x:f>COUNTIF('Post Coding'!$C$5:$C$26,A8)</x:f>
        <x:v>3</x:v>
      </x:c>
      <x:c r="C8" s="149" t="n">
        <x:f>B8/22</x:f>
        <x:v>0.13636363636363635</x:v>
      </x:c>
      <x:c r="D8" s="116" t="str">
        <x:v>SE-002, SE-008, SE-012 (SE-025 ambiguous)</x:v>
      </x:c>
      <x:c r="E8" s="116" t="str">
        <x:v>Contribute to AI, data or cloud-enabled products, including product features, APIs and production AI operations.</x:v>
      </x:c>
      <x:c r="F8" s="116" t="str">
        <x:v>Python; C#; Git; Azure/cloud; APIs; testing; data/AI concepts</x:v>
      </x:c>
      <x:c r="G8" s="116" t="str">
        <x:v>The product context is distinctive, but the three roles differ substantially in actual work and do not yet form a stable peer lane.</x:v>
      </x:c>
      <x:c r="H8" s="116" t="str">
        <x:v>Treat as a specialisation after core software foundations rather than the default starting route.</x:v>
      </x:c>
      <x:c r="I8" s="116" t="str">
        <x:v>Moderate–limited</x:v>
      </x:c>
      <x:c r="J8" s="151" t="str">
        <x:v>Present as exploratory specialisation</x:v>
      </x:c>
      <x:c r="K8" s="116" t="str">
        <x:v>Three usable posts support an adjacent route. Do not count SE-025 as AI-lane proof because its evidence conflicts with its title.</x:v>
      </x:c>
    </x:row>
    <x:row r="9" ht="88" customHeight="1">
      <x:c r="A9" s="116" t="str">
        <x:v>General / Graduate Engineering Pathway</x:v>
      </x:c>
      <x:c r="B9" s="116" t="n">
        <x:f>COUNTIF('Post Coding'!$C$5:$C$26,A9)</x:f>
        <x:v>3</x:v>
      </x:c>
      <x:c r="C9" s="149" t="n">
        <x:f>B9/22</x:f>
        <x:v>0.13636363636363635</x:v>
      </x:c>
      <x:c r="D9" s="116" t="str">
        <x:v>SE-003, SE-004, SE-026</x:v>
      </x:c>
      <x:c r="E9" s="116" t="str">
        <x:v>Enter through training, systems exposure, R&amp;D, Scrum, testing, debugging and broad engineering practice.</x:v>
      </x:c>
      <x:c r="F9" s="116" t="str">
        <x:v>Programming fundamentals; testing/debugging; requirements; collaboration; Linux/Unix exposure; learning</x:v>
      </x:c>
      <x:c r="G9" s="116" t="str">
        <x:v>This describes how a candidate enters and develops, not a stable destination with a distinct application or project route.</x:v>
      </x:c>
      <x:c r="H9" s="116" t="str">
        <x:v>Use across every lane as shared foundation and as guidance for graduate/internship applications.</x:v>
      </x:c>
      <x:c r="I9" s="116" t="str">
        <x:v>Strong as pathway</x:v>
      </x:c>
      <x:c r="J9" s="152" t="str">
        <x:v>Merge into shared foundation / entry route</x:v>
      </x:c>
      <x:c r="K9" s="116" t="str">
        <x:v>The evidence is useful, but making it a peer lane would confuse entry mechanism with career direction.</x:v>
      </x:c>
    </x:row>
    <x:row r="10" ht="88" customHeight="1">
      <x:c r="A10" s="116" t="str">
        <x:v>Ambiguous lane evidence</x:v>
      </x:c>
      <x:c r="B10" s="116" t="n">
        <x:f>COUNTIF('Post Coding'!$C$5:$C$26,A10)</x:f>
        <x:v>1</x:v>
      </x:c>
      <x:c r="C10" s="149" t="n">
        <x:f>B10/22</x:f>
        <x:v>0.045454545454545456</x:v>
      </x:c>
      <x:c r="D10" s="116" t="str">
        <x:v>SE-025</x:v>
      </x:c>
      <x:c r="E10" s="116" t="str">
        <x:v>AI-labelled internship with captured requirements identical to a .NET full-stack role and no AI-specific responsibility evidence.</x:v>
      </x:c>
      <x:c r="F10" s="116" t="str">
        <x:v>C#; .NET; SQL; JavaScript; Git; Azure</x:v>
      </x:c>
      <x:c r="G10" s="116" t="str">
        <x:v>The title and body do not support the same interpretation.</x:v>
      </x:c>
      <x:c r="H10" s="116" t="str">
        <x:v>Do not use this post to establish a lane; retain it only as a documented limitation.</x:v>
      </x:c>
      <x:c r="I10" s="116" t="str">
        <x:v>Low</x:v>
      </x:c>
      <x:c r="J10" s="153" t="str">
        <x:v>Exclude from lane-defining evidence</x:v>
      </x:c>
      <x:c r="K10" s="116" t="str">
        <x:v>All 22 posts remain accounted for, but ambiguous evidence cannot responsibly strengthen a lane.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699f8b59ffd54e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1" hidden="0" customWidth="1"/>
    <x:col min="3" max="3" width="30" hidden="0" customWidth="1"/>
    <x:col min="4" max="4" width="28" hidden="0" customWidth="1"/>
    <x:col min="5" max="5" width="25" hidden="0" customWidth="1"/>
    <x:col min="6" max="6" width="12" hidden="0" customWidth="1"/>
    <x:col min="7" max="7" width="43" hidden="0" customWidth="1"/>
    <x:col min="8" max="8" width="28" hidden="0" customWidth="1"/>
    <x:col min="9" max="9" width="26" hidden="0" customWidth="1"/>
    <x:col min="10" max="10" width="26" hidden="0" customWidth="1"/>
    <x:col min="11" max="11" width="34" hidden="0" customWidth="1"/>
    <x:col min="12" max="12" width="46" hidden="0" customWidth="1"/>
    <x:col min="13" max="13" width="15" hidden="0" customWidth="1"/>
    <x:col min="14" max="14" width="20" hidden="0" customWidth="1"/>
    <x:col min="15" max="15" width="42" hidden="0" customWidth="1"/>
  </x:cols>
  <x:sheetData>
    <x:row r="1" ht="34" customHeight="1">
      <x:c r="A1" s="98" t="str">
        <x:v>Post-level lane coding</x:v>
      </x:c>
      <x:c r="B1" s="98"/>
      <x:c r="C1" s="98"/>
      <x:c r="D1" s="98"/>
      <x:c r="E1" s="98"/>
      <x:c r="F1" s="98"/>
      <x:c r="G1" s="98"/>
      <x:c r="H1" s="98"/>
      <x:c r="I1" s="98"/>
      <x:c r="J1" s="98"/>
      <x:c r="K1" s="98"/>
      <x:c r="L1" s="98"/>
      <x:c r="M1" s="98"/>
      <x:c r="N1" s="98"/>
      <x:c r="O1" s="98"/>
    </x:row>
    <x:row r="2" ht="30" customHeight="1">
      <x:c r="A2" s="99" t="str">
        <x:v>Every retained SE post is accounted for. Primary groups are analytical assignments, not claims that job adverts fit cleanly into exclusive market segments.</x:v>
      </x:c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  <x:c r="N2" s="99"/>
      <x:c r="O2" s="99"/>
    </x:row>
    <x:row r="3">
      <x:c r="A3" s="100"/>
      <x:c r="B3" s="100"/>
      <x:c r="C3" s="100"/>
      <x:c r="D3" s="100"/>
      <x:c r="E3" s="100"/>
      <x:c r="F3" s="100"/>
      <x:c r="G3" s="100"/>
      <x:c r="H3" s="100"/>
      <x:c r="I3" s="100"/>
      <x:c r="J3" s="100"/>
      <x:c r="K3" s="100"/>
      <x:c r="L3" s="100"/>
      <x:c r="M3" s="100"/>
      <x:c r="N3" s="100"/>
      <x:c r="O3" s="100"/>
    </x:row>
    <x:row r="4" ht="30" customHeight="1">
      <x:c r="A4" s="108" t="str">
        <x:v>Post ID</x:v>
      </x:c>
      <x:c r="B4" s="109" t="str">
        <x:v>Job title</x:v>
      </x:c>
      <x:c r="C4" s="109" t="str">
        <x:v>Primary pattern</x:v>
      </x:c>
      <x:c r="D4" s="109" t="str">
        <x:v>Secondary relevance</x:v>
      </x:c>
      <x:c r="E4" s="109" t="str">
        <x:v>Pack treatment</x:v>
      </x:c>
      <x:c r="F4" s="109" t="str">
        <x:v>Confidence</x:v>
      </x:c>
      <x:c r="G4" s="109" t="str">
        <x:v>Responsibility signal</x:v>
      </x:c>
      <x:c r="H4" s="109" t="str">
        <x:v>Languages</x:v>
      </x:c>
      <x:c r="I4" s="109" t="str">
        <x:v>Frameworks / libraries</x:v>
      </x:c>
      <x:c r="J4" s="109" t="str">
        <x:v>Tools / platforms</x:v>
      </x:c>
      <x:c r="K4" s="109" t="str">
        <x:v>All skill evidence</x:v>
      </x:c>
      <x:c r="L4" s="109" t="str">
        <x:v>Lane rationale</x:v>
      </x:c>
      <x:c r="M4" s="109" t="str">
        <x:v>Source board</x:v>
      </x:c>
      <x:c r="N4" s="109" t="str">
        <x:v>Source URL</x:v>
      </x:c>
      <x:c r="O4" s="110" t="str">
        <x:v>Data note</x:v>
      </x:c>
    </x:row>
    <x:row r="5" ht="68" customHeight="1">
      <x:c r="A5" s="111" t="str">
        <x:v>SE-001</x:v>
      </x:c>
      <x:c r="B5" s="111" t="str">
        <x:v>Junior Software Developer</x:v>
      </x:c>
      <x:c r="C5" s="111" t="str">
        <x:v>Application &amp; Full-Stack Development</x:v>
      </x:c>
      <x:c r="D5" s="111" t="str">
        <x:v>Back-End &amp; Systems Integration</x:v>
      </x:c>
      <x:c r="E5" s="111" t="str">
        <x:v>Supports core lane</x:v>
      </x:c>
      <x:c r="F5" s="111" t="str">
        <x:v>High</x:v>
      </x:c>
      <x:c r="G5" s="111" t="str">
        <x:v>Business application delivery across requirements, design, testing, deployment and support.</x:v>
      </x:c>
      <x:c r="H5" s="111" t="str">
        <x:v>C#, SQL</x:v>
      </x:c>
      <x:c r="I5" s="111" t="str">
        <x:v>.NET</x:v>
      </x:c>
      <x:c r="J5" s="111" t="str">
        <x:v>SQL Server</x:v>
      </x:c>
      <x:c r="K5" s="111" t="str">
        <x:f>TEXTJOIN(", ",TRUE,H5:J5)</x:f>
        <x:v>C#, SQL, .NET, SQL Server</x:v>
      </x:c>
      <x:c r="L5" s="111" t="str">
        <x:v>The post describes a complete software-development lifecycle and data-driven business applications.</x:v>
      </x:c>
      <x:c r="M5" s="111" t="str">
        <x:v>PNet</x:v>
      </x:c>
      <x:c r="N5" s="111" t="str">
        <x:v>https://www.pnet.co.za/jobs--Junior-Software-Developer-Johannesburg-North-Network-IT--4239962-inline.html?rltr=1_1_25_seorl_m_0_0_0_0_0_0</x:v>
      </x:c>
      <x:c r="O5" s="111" t="str"/>
    </x:row>
    <x:row r="6" ht="68" customHeight="1">
      <x:c r="A6" s="116" t="str">
        <x:v>SE-002</x:v>
      </x:c>
      <x:c r="B6" s="116" t="str">
        <x:v>Junior Software Developer (AI Development Pathway)</x:v>
      </x:c>
      <x:c r="C6" s="116" t="str">
        <x:v>AI, Data &amp; Cloud-Adjacent Engineering</x:v>
      </x:c>
      <x:c r="D6" s="116" t="str">
        <x:v>Application &amp; Full-Stack Development</x:v>
      </x:c>
      <x:c r="E6" s="116" t="str">
        <x:v>Supports exploratory specialisation</x:v>
      </x:c>
      <x:c r="F6" s="116" t="str">
        <x:v>Moderate</x:v>
      </x:c>
      <x:c r="G6" s="116" t="str">
        <x:v>Graduate pathway towards AI software engineering using several languages, cloud and container tooling.</x:v>
      </x:c>
      <x:c r="H6" s="116" t="str">
        <x:v>C#, Java, Python, SQL</x:v>
      </x:c>
      <x:c r="I6" s="116" t="str">
        <x:v>.NET</x:v>
      </x:c>
      <x:c r="J6" s="116" t="str">
        <x:v>Git/GitHub, Azure, Docker</x:v>
      </x:c>
      <x:c r="K6" s="116" t="str">
        <x:f>TEXTJOIN(", ",TRUE,H6:J6)</x:f>
        <x:v>C#, Java, Python, SQL, .NET, Git/GitHub, Azure, Docker</x:v>
      </x:c>
      <x:c r="L6" s="116" t="str">
        <x:v>AI is explicit, but the captured responsibilities are broad and pathway-oriented rather than a stable specialist role pattern.</x:v>
      </x:c>
      <x:c r="M6" s="116" t="str">
        <x:v>PNet</x:v>
      </x:c>
      <x:c r="N6" s="116" t="str">
        <x:v>https://www.pnet.co.za/jobs--Junior-Software-Developer-AI-Development-Pathway-JHB-Northern-Suburbs-Accredited-Resource-Consulting-Services--4243572-inline.html?rltr=3_3_25_seorl_m_0_0_0_0_0_0</x:v>
      </x:c>
      <x:c r="O6" s="116" t="str">
        <x:v>Evidence verified 2026-08-11. Git/GitHub is explicit and a GitHub portfolio is beneficial (preferred). Work arrangement is not stated in the accessible source, so Work Type remains blank.</x:v>
      </x:c>
    </x:row>
    <x:row r="7" ht="68" customHeight="1">
      <x:c r="A7" s="116" t="str">
        <x:v>SE-003</x:v>
      </x:c>
      <x:c r="B7" s="116" t="str">
        <x:v>Junior Software Development Engineer</x:v>
      </x:c>
      <x:c r="C7" s="116" t="str">
        <x:v>General / Graduate Engineering Pathway</x:v>
      </x:c>
      <x:c r="D7" s="116" t="str">
        <x:v>Shared engineering foundation</x:v>
      </x:c>
      <x:c r="E7" s="116" t="str">
        <x:v>Shared foundation evidence only</x:v>
      </x:c>
      <x:c r="F7" s="116" t="str">
        <x:v>Moderate</x:v>
      </x:c>
      <x:c r="G7" s="116" t="str">
        <x:v>Fault prevention through clearer requirements, design quality, implementation quality and testing.</x:v>
      </x:c>
      <x:c r="H7" s="116" t="str"/>
      <x:c r="I7" s="116" t="str"/>
      <x:c r="J7" s="116" t="str"/>
      <x:c r="K7" s="116" t="str">
        <x:f>TEXTJOIN(", ",TRUE,H7:J7)</x:f>
      </x:c>
      <x:c r="L7" s="116" t="str">
        <x:v>The evidence supports shared engineering practice but does not identify a distinct customer-facing career lane.</x:v>
      </x:c>
      <x:c r="M7" s="116" t="str">
        <x:v>LinkedIn</x:v>
      </x:c>
      <x:c r="N7" s="116" t="str">
        <x:v>https://www.linkedin.com/jobs/view/4410616189/?alternateChannel=search&amp;eBP=CwEAAAGf0VK-WxThRSnpzKSt-fYUeCZslv97ktdVJtqt8eqyYIAo1XyHeXmgB3zQuMLokjh6fIG6BSAEF2TkBfov5FOOe1poK3GU8VRrt1l0vv0RJEFvnfKO4P1faJRWdzx7Mbcz61UJUeNCdyeOka5h4Iu58bMZIhsMeP4pCrgENjhu94OVuqOaKHTb9FPdmxJrdZCFhPER8jgQDeCwr94WAtrmylBjxmyzNHjtNahu_nXPEgLsbUn885ZdBDH8QVAXRrDW4zViPrexEg0_NW5v9D4wT1K5xDfHpaLpoWWcdicRgsAu0Hm2qhJIYQoGXpAsAaNnyHFJHXKLjnRcYiLgH1Scp0FOpSKEReJ4xKOOsF7lDuR9C2hF0gHQa5CHJS1pkf7kXFtXfUEjXpCH6YH_Tc84bhJ1bazbTydIcgQokHm7rXWgHIDNWqfWs56MTIM_fOP05fy60n8pqILi5JDaqYoTp_K8hfgIR63KZTkAjOipQDUjGR6hlNBj&amp;refId=29aaEmuHTFpHvocyM8QSkg%3D%3D&amp;trackingId=8vBPG52zFp90uVtXNU%2FnwA%3D%3D</x:v>
      </x:c>
      <x:c r="O7" s="116" t="str">
        <x:v>Evidence verified 2026-08-11. The accessible full listing does not explicitly name a programming language or framework; contaminated structured values were cleared.</x:v>
      </x:c>
    </x:row>
    <x:row r="8" ht="68" customHeight="1">
      <x:c r="A8" s="116" t="str">
        <x:v>SE-004</x:v>
      </x:c>
      <x:c r="B8" s="116" t="str">
        <x:v>Junior Software &amp; Systems Engineer</x:v>
      </x:c>
      <x:c r="C8" s="116" t="str">
        <x:v>General / Graduate Engineering Pathway</x:v>
      </x:c>
      <x:c r="D8" s="116" t="str">
        <x:v>Back-End &amp; Systems Integration</x:v>
      </x:c>
      <x:c r="E8" s="116" t="str">
        <x:v>Shared foundation evidence only</x:v>
      </x:c>
      <x:c r="F8" s="116" t="str">
        <x:v>Low</x:v>
      </x:c>
      <x:c r="G8" s="116" t="str">
        <x:v>Graduate software-and-systems role with broad language exposure and Linux.</x:v>
      </x:c>
      <x:c r="H8" s="116" t="str">
        <x:v>C#, Java, Python</x:v>
      </x:c>
      <x:c r="I8" s="116" t="str"/>
      <x:c r="J8" s="116" t="str">
        <x:v>Linux</x:v>
      </x:c>
      <x:c r="K8" s="116" t="str">
        <x:f>TEXTJOIN(", ",TRUE,H8:J8)</x:f>
        <x:v>C#, Java, Python, Linux</x:v>
      </x:c>
      <x:c r="L8" s="116" t="str">
        <x:v>The title suggests systems work, but the captured responsibilities are insufficient to define a separate lane.</x:v>
      </x:c>
      <x:c r="M8" s="116" t="str">
        <x:v>LinkedIn</x:v>
      </x:c>
      <x:c r="N8" s="116" t="str">
        <x:v>https://www.linkedin.com/jobs/view/4444388422/?alternateChannel=search&amp;eBP=CwEAAAGf1dBQVMvrLGsHCNTq_HcrGwbB-DaV93DoeiKW3GM4N9IzW7GMsj77rEyKFV-b74iHeuj180Ski3tkeOg3In-Z3qVFiyXkJFlATga4yRJiZtyyQhwptBAvBSTfsgh6IKiRmdCVoe8JG8gnurlZto6Cb1vEG2JjFthzJeiy_mZauv48iOSxXfgJKKsfXxF5_-4ebzCCaBwRxbohCCosEm6-yPWy0ZXcCkEX-5TYsuj8mHla38v8KiJ-XIxWhIEfuXTiixoHJlkLpVAN-pxI5tLhp6j3Y3nJpvjbm_uIva2-BmpduY-JLf7-mXtDIudJV5iFFnTHSdvvd9c2ISHQo3DgYfqhZCw_9js2PvQ-FfLfz8L-tApPza9vWu8r6YIT7vtQB0pz7nHdS3OpVgtU4wWLpCV4BWaTQ3AYbZCDSyo7gkUyNeccLNR8zp3bUkeWA8LoDM-XzsyAuKnhM32hfFNFzTZfV_Q9slDjL5nzqbzrAiu1MH8WatJB1QE&amp;refId=PCXg4lQAj1NiYbFZ%2FZ%2FuEQ%3D%3D&amp;trackingId=CXE%2BN0FHlKz1jjvU0Yi7IA%3D%3D</x:v>
      </x:c>
      <x:c r="O8" s="116" t="str"/>
    </x:row>
    <x:row r="9" ht="68" customHeight="1">
      <x:c r="A9" s="116" t="str">
        <x:v>SE-005</x:v>
      </x:c>
      <x:c r="B9" s="116" t="str">
        <x:v>Junior Software Engineer</x:v>
      </x:c>
      <x:c r="C9" s="116" t="str">
        <x:v>Application &amp; Full-Stack Development</x:v>
      </x:c>
      <x:c r="D9" s="116" t="str">
        <x:v>Front-End and back-end overlap</x:v>
      </x:c>
      <x:c r="E9" s="116" t="str">
        <x:v>Supports core lane</x:v>
      </x:c>
      <x:c r="F9" s="116" t="str">
        <x:v>Moderate</x:v>
      </x:c>
      <x:c r="G9" s="116" t="str">
        <x:v>Broad multi-language and multi-framework product-development environment.</x:v>
      </x:c>
      <x:c r="H9" s="116" t="str">
        <x:v>C#, SQL, JavaScript, TypeScript, Java, Python, PHP, HTML/CSS</x:v>
      </x:c>
      <x:c r="I9" s="116" t="str">
        <x:v>.NET, React, Angular, Django</x:v>
      </x:c>
      <x:c r="J9" s="116" t="str">
        <x:v>Azure, Git/GitHub, Jira, SQL Server, Docker, AWS</x:v>
      </x:c>
      <x:c r="K9" s="116" t="str">
        <x:f>TEXTJOIN(", ",TRUE,H9:J9)</x:f>
        <x:v>C#, SQL, JavaScript, TypeScript, Java, Python, PHP, HTML/CSS, .NET, React, Angular, Django, Azure, Git/GitHub, Jira, SQL Server, Docker, AWS</x:v>
      </x:c>
      <x:c r="L9" s="116" t="str">
        <x:v>The breadth supports a general application/full-stack route, but the captured paragraph is not responsibility-specific.</x:v>
      </x:c>
      <x:c r="M9" s="116" t="str">
        <x:v>LinkedIn</x:v>
      </x:c>
      <x:c r="N9" s="116" t="str">
        <x:v>https://www.linkedin.com/jobs/view/4440587941/?alternateChannel=search&amp;eBP=CwEAAAGf1dzHsHiazkurFPQrjxrpbakhEvCrG72DOUVJ-yroSdtMjmbVSKBe9zB4Sp0QkiKePnAdKm0hqAxSRj4YL3n989lBl5q8eVSt_N9YuGR8CxKK8mMlx0gxzr-yssoP6kMHDBaX03CT6lrfgSgq9nFTe_GK4OAbtZGlRuhLHt-0whNTs9UrcEWn9ju1qDPt79X0Klku4hT9FsIB_QnaqA7FtdgltVmnj9GHdZDyul7qczzoSE8ocFA8E3Um-ZEFNGtdiI0lmABelo1bpFu6N6QCK2vesOMakE0eKBYn2ytj5wh8CTdjDL07iQQgYvO2Mmd2AQT2Cw2J1i6VCcNLhBE8LA0h0DNUd8qvijflTTyu3vegV1VhChpbFDSxqgOKMzHSwnfEmkRw5jTmu5g7jv8VSMPIevixBqdgvTOsmQWfs_YAJSGpqjC3APx_oA5NM6J6my3lodZ29anypCysVff7Ul49fz-Xur752JFkBjntUZuCjx17XYZR&amp;refId=P7ZKohsZQeonhmLqFm61dg%3D%3D&amp;trackingId=8Jfg2e1YGFE6b93jlLi%2BOA%3D%3D</x:v>
      </x:c>
      <x:c r="O9" s="116" t="str"/>
    </x:row>
    <x:row r="10" ht="68" customHeight="1">
      <x:c r="A10" s="116" t="str">
        <x:v>SE-007</x:v>
      </x:c>
      <x:c r="B10" s="116" t="str">
        <x:v>Junior Web Developer</x:v>
      </x:c>
      <x:c r="C10" s="116" t="str">
        <x:v>Front-End &amp; Web Interface Development</x:v>
      </x:c>
      <x:c r="D10" s="116" t="str">
        <x:v>Application &amp; Full-Stack Development</x:v>
      </x:c>
      <x:c r="E10" s="116" t="str">
        <x:v>Supports core lane</x:v>
      </x:c>
      <x:c r="F10" s="116" t="str">
        <x:v>High</x:v>
      </x:c>
      <x:c r="G10" s="116" t="str">
        <x:v>Build readable web experiences using HTML, CSS, JavaScript and web publishing technologies.</x:v>
      </x:c>
      <x:c r="H10" s="116" t="str">
        <x:v>HTML/CSS, JavaScript, C#, PHP, Java, Python</x:v>
      </x:c>
      <x:c r="I10" s="116" t="str">
        <x:v>React, .NET, Django</x:v>
      </x:c>
      <x:c r="J10" s="116" t="str"/>
      <x:c r="K10" s="116" t="str">
        <x:f>TEXTJOIN(", ",TRUE,H10:J10)</x:f>
        <x:v>HTML/CSS, JavaScript, C#, PHP, Java, Python, React, .NET, Django</x:v>
      </x:c>
      <x:c r="L10" s="116" t="str">
        <x:v>Browser-facing work, content presentation and web fundamentals materially change the candidate's learning and evidence choices.</x:v>
      </x:c>
      <x:c r="M10" s="116" t="str">
        <x:v>LinkedIn</x:v>
      </x:c>
      <x:c r="N10" s="116" t="str">
        <x:v>https://www.linkedin.com/jobs/view/4449368586/?alternateChannel=search&amp;eBP=NOT_ELIGIBLE_FOR_CHARGING&amp;refId=4acqsRNFKht8AwkxOqP1tw%3D%3D&amp;trackingId=qi6UBYkHWtPUCBj6U1Oy9Q%3D%3D</x:v>
      </x:c>
      <x:c r="O10" s="116" t="str"/>
    </x:row>
    <x:row r="11" ht="68" customHeight="1">
      <x:c r="A11" s="116" t="str">
        <x:v>SE-008</x:v>
      </x:c>
      <x:c r="B11" s="116" t="str">
        <x:v>Intern Software Development</x:v>
      </x:c>
      <x:c r="C11" s="116" t="str">
        <x:v>AI, Data &amp; Cloud-Adjacent Engineering</x:v>
      </x:c>
      <x:c r="D11" s="116" t="str">
        <x:v>Application &amp; Full-Stack Development</x:v>
      </x:c>
      <x:c r="E11" s="116" t="str">
        <x:v>Supports exploratory specialisation</x:v>
      </x:c>
      <x:c r="F11" s="116" t="str">
        <x:v>High</x:v>
      </x:c>
      <x:c r="G11" s="116" t="str">
        <x:v>Contribute to AI, data and cloud product features using Python, TypeScript, APIs and Azure.</x:v>
      </x:c>
      <x:c r="H11" s="116" t="str">
        <x:v>Python, TypeScript, JavaScript, C#, Java</x:v>
      </x:c>
      <x:c r="I11" s="116" t="str">
        <x:v>React, .NET</x:v>
      </x:c>
      <x:c r="J11" s="116" t="str">
        <x:v>Azure, Git/GitHub, AWS</x:v>
      </x:c>
      <x:c r="K11" s="116" t="str">
        <x:f>TEXTJOIN(", ",TRUE,H11:J11)</x:f>
        <x:v>Python, TypeScript, JavaScript, C#, Java, React, .NET, Azure, Git/GitHub, AWS</x:v>
      </x:c>
      <x:c r="L11" s="116" t="str">
        <x:v>The post provides concrete AI/data/cloud product responsibilities, but the pattern remains small across the sample.</x:v>
      </x:c>
      <x:c r="M11" s="116" t="str">
        <x:v>LinkedIn</x:v>
      </x:c>
      <x:c r="N11" s="116" t="str">
        <x:v>https://www.linkedin.com/jobs/view/4446794799/?alternateChannel=search&amp;eBP=NOT_ELIGIBLE_FOR_CHARGING&amp;refId=4acqsRNFKht8AwkxOqP1tw%3D%3D&amp;trackingId=kKBMFSCm6PjfROEbk2Vn6Q%3D%3D</x:v>
      </x:c>
      <x:c r="O11" s="116" t="str"/>
    </x:row>
    <x:row r="12" ht="68" customHeight="1">
      <x:c r="A12" s="116" t="str">
        <x:v>SE-011</x:v>
      </x:c>
      <x:c r="B12" s="116" t="str">
        <x:v>Junior Software Developer</x:v>
      </x:c>
      <x:c r="C12" s="116" t="str">
        <x:v>Application &amp; Full-Stack Development</x:v>
      </x:c>
      <x:c r="D12" s="116" t="str">
        <x:v>Shared engineering foundation</x:v>
      </x:c>
      <x:c r="E12" s="116" t="str">
        <x:v>Supports core lane</x:v>
      </x:c>
      <x:c r="F12" s="116" t="str">
        <x:v>Moderate</x:v>
      </x:c>
      <x:c r="G12" s="116" t="str">
        <x:v>Build and maintain software with senior developers and product managers.</x:v>
      </x:c>
      <x:c r="H12" s="116" t="str">
        <x:v>JavaScript, Python, Java, C#, HTML/CSS, SQL</x:v>
      </x:c>
      <x:c r="I12" s="116" t="str"/>
      <x:c r="J12" s="116" t="str">
        <x:v>Git/GitHub, PostgreSQL</x:v>
      </x:c>
      <x:c r="K12" s="116" t="str">
        <x:f>TEXTJOIN(", ",TRUE,H12:J12)</x:f>
        <x:v>JavaScript, Python, Java, C#, HTML/CSS, SQL, Git/GitHub, PostgreSQL</x:v>
      </x:c>
      <x:c r="L12" s="116" t="str">
        <x:v>The work is general application development; no narrower specialist responsibility pattern is visible.</x:v>
      </x:c>
      <x:c r="M12" s="116" t="str">
        <x:v>PNet</x:v>
      </x:c>
      <x:c r="N12" s="116" t="str">
        <x:v>https://www.pnet.co.za/jobs--Junior-Software-Developer-Northcliff-Peoplesync-Pty-Ltd--4199245-inline.html?rltr=4_4_25_seorl_m_0_0_0_0_0_0</x:v>
      </x:c>
      <x:c r="O12" s="116" t="str">
        <x:v>Evidence verified 2026-08-11 using a matching source mirror because the original PNet page is unavailable. Git is explicit; a portfolio or GitHub link appears under nice-to-haves (preferred).</x:v>
      </x:c>
    </x:row>
    <x:row r="13" ht="68" customHeight="1">
      <x:c r="A13" s="116" t="str">
        <x:v>SE-012</x:v>
      </x:c>
      <x:c r="B13" s="116" t="str">
        <x:v>AI / Software Engineer – Junior / Graduate</x:v>
      </x:c>
      <x:c r="C13" s="116" t="str">
        <x:v>AI, Data &amp; Cloud-Adjacent Engineering</x:v>
      </x:c>
      <x:c r="D13" s="116" t="str">
        <x:v>Application support and release quality</x:v>
      </x:c>
      <x:c r="E13" s="116" t="str">
        <x:v>Supports exploratory specialisation</x:v>
      </x:c>
      <x:c r="F13" s="116" t="str">
        <x:v>High</x:v>
      </x:c>
      <x:c r="G13" s="116" t="str">
        <x:v>Support production conversational-AI releases, prompts, campaigns and interaction quality.</x:v>
      </x:c>
      <x:c r="H13" s="116" t="str">
        <x:v>Python, C#</x:v>
      </x:c>
      <x:c r="I13" s="116" t="str"/>
      <x:c r="J13" s="116" t="str">
        <x:v>Git/GitHub</x:v>
      </x:c>
      <x:c r="K13" s="116" t="str">
        <x:f>TEXTJOIN(", ",TRUE,H13:J13)</x:f>
        <x:v>Python, C#, Git/GitHub</x:v>
      </x:c>
      <x:c r="L13" s="116" t="str">
        <x:v>This is clearly AI-adjacent, but its operational focus differs from the other AI-labelled posts, limiting lane consistency.</x:v>
      </x:c>
      <x:c r="M13" s="116" t="str">
        <x:v>PNet</x:v>
      </x:c>
      <x:c r="N13" s="116" t="str">
        <x:v>https://www.pnet.co.za/jobs--AI-Software-Engineer-Junior-Graduate-Johannesburg-North-Network-IT--4240345-inline.html?rltr=6_6_25_seorl_m_0_0_0_0_0_0</x:v>
      </x:c>
      <x:c r="O13" s="116" t="str">
        <x:v>Evidence verified 2026-08-11. Git is explicit; a GitHub profile or project portfolio is described as highly advantageous (preferred).</x:v>
      </x:c>
    </x:row>
    <x:row r="14" ht="68" customHeight="1">
      <x:c r="A14" s="116" t="str">
        <x:v>SE-013</x:v>
      </x:c>
      <x:c r="B14" s="116" t="str">
        <x:v>Junior Software Engineer</x:v>
      </x:c>
      <x:c r="C14" s="116" t="str">
        <x:v>Application &amp; Full-Stack Development</x:v>
      </x:c>
      <x:c r="D14" s="116" t="str">
        <x:v>Front-End &amp; Web Interface Development</x:v>
      </x:c>
      <x:c r="E14" s="116" t="str">
        <x:v>Supports core lane</x:v>
      </x:c>
      <x:c r="F14" s="116" t="str">
        <x:v>High</x:v>
      </x:c>
      <x:c r="G14" s="116" t="str">
        <x:v>Develop application features across .NET, Angular, SQL and browser technologies.</x:v>
      </x:c>
      <x:c r="H14" s="116" t="str">
        <x:v>C#, SQL, HTML/CSS, JavaScript, TypeScript</x:v>
      </x:c>
      <x:c r="I14" s="116" t="str">
        <x:v>Angular, .NET</x:v>
      </x:c>
      <x:c r="J14" s="116" t="str"/>
      <x:c r="K14" s="116" t="str">
        <x:f>TEXTJOIN(", ",TRUE,H14:J14)</x:f>
        <x:v>C#, SQL, HTML/CSS, JavaScript, TypeScript, Angular, .NET</x:v>
      </x:c>
      <x:c r="L14" s="116" t="str">
        <x:v>The combined client, application and data stack supports an end-to-end application route.</x:v>
      </x:c>
      <x:c r="M14" s="116" t="str">
        <x:v>PNet</x:v>
      </x:c>
      <x:c r="N14" s="116" t="str">
        <x:v>https://www.pnet.co.za/jobs--Junior-Software-Engineer-Bryanston-Placement-Specialist-Pty-Ltd--3980008-inline.html?rltr=7_7_25_seorl_m_0_0_0_0_0_0</x:v>
      </x:c>
      <x:c r="O14" s="116" t="str"/>
    </x:row>
    <x:row r="15" ht="68" customHeight="1">
      <x:c r="A15" s="116" t="str">
        <x:v>SE-015</x:v>
      </x:c>
      <x:c r="B15" s="116" t="str">
        <x:v>Application Developer</x:v>
      </x:c>
      <x:c r="C15" s="116" t="str">
        <x:v>Application &amp; Full-Stack Development</x:v>
      </x:c>
      <x:c r="D15" s="116" t="str">
        <x:v>Front-End &amp; Web Interface Development</x:v>
      </x:c>
      <x:c r="E15" s="116" t="str">
        <x:v>Supports core lane</x:v>
      </x:c>
      <x:c r="F15" s="116" t="str">
        <x:v>High</x:v>
      </x:c>
      <x:c r="G15" s="116" t="str">
        <x:v>Build web and mobile applications in a collaborative delivery team.</x:v>
      </x:c>
      <x:c r="H15" s="116" t="str">
        <x:v>JavaScript, C#, Python, SQL</x:v>
      </x:c>
      <x:c r="I15" s="116" t="str">
        <x:v>.NET, React</x:v>
      </x:c>
      <x:c r="J15" s="116" t="str">
        <x:v>Azure, MySQL</x:v>
      </x:c>
      <x:c r="K15" s="116" t="str">
        <x:f>TEXTJOIN(", ",TRUE,H15:J15)</x:f>
        <x:v>JavaScript, C#, Python, SQL, .NET, React, Azure, MySQL</x:v>
      </x:c>
      <x:c r="L15" s="116" t="str">
        <x:v>The role explicitly centres on application delivery across several layers rather than one specialist layer.</x:v>
      </x:c>
      <x:c r="M15" s="116" t="str">
        <x:v>PNet</x:v>
      </x:c>
      <x:c r="N15" s="116" t="str">
        <x:v>https://www.pnet.co.za/jobs--Application-Developer-Johannesburg-North-Network-IT--4237476-inline.html?rltr=15_15_25_seorl_s_0_0_0_0_0_0</x:v>
      </x:c>
      <x:c r="O15" s="116" t="str"/>
    </x:row>
    <x:row r="16" ht="68" customHeight="1">
      <x:c r="A16" s="116" t="str">
        <x:v>SE-016</x:v>
      </x:c>
      <x:c r="B16" s="116" t="str">
        <x:v>Intermediate Full - Stack Software Developer</x:v>
      </x:c>
      <x:c r="C16" s="116" t="str">
        <x:v>Application &amp; Full-Stack Development</x:v>
      </x:c>
      <x:c r="D16" s="116" t="str">
        <x:v>Back-End &amp; Systems Integration</x:v>
      </x:c>
      <x:c r="E16" s="116" t="str">
        <x:v>Supports core lane</x:v>
      </x:c>
      <x:c r="F16" s="116" t="str">
        <x:v>Low</x:v>
      </x:c>
      <x:c r="G16" s="116" t="str">
        <x:v>Full-stack title with Java and SQL evidence.</x:v>
      </x:c>
      <x:c r="H16" s="116" t="str">
        <x:v>SQL, Java</x:v>
      </x:c>
      <x:c r="I16" s="116" t="str"/>
      <x:c r="J16" s="116" t="str"/>
      <x:c r="K16" s="116" t="str">
        <x:f>TEXTJOIN(", ",TRUE,H16:J16)</x:f>
        <x:v>SQL, Java</x:v>
      </x:c>
      <x:c r="L16" s="116" t="str">
        <x:v>The title supports the route, but the captured paragraph is recruitment boilerplate and provides weak responsibility evidence.</x:v>
      </x:c>
      <x:c r="M16" s="116" t="str">
        <x:v>PNet</x:v>
      </x:c>
      <x:c r="N16" s="116" t="str">
        <x:v>https://www.pnet.co.za/jobs--Intermediate-Full-Stack-Software-Developer-Johannesburg-Sabenza-IT-Recruitment--4245446-inline.html?rltr=22_22_25_seorl_s_0_0_0_0_0_0</x:v>
      </x:c>
      <x:c r="O16" s="116" t="str"/>
    </x:row>
    <x:row r="17" ht="68" customHeight="1">
      <x:c r="A17" s="116" t="str">
        <x:v>SE-018</x:v>
      </x:c>
      <x:c r="B17" s="116" t="str">
        <x:v>Junior Web Developer</x:v>
      </x:c>
      <x:c r="C17" s="116" t="str">
        <x:v>Front-End &amp; Web Interface Development</x:v>
      </x:c>
      <x:c r="D17" s="116" t="str">
        <x:v>Application &amp; Full-Stack Development</x:v>
      </x:c>
      <x:c r="E17" s="116" t="str">
        <x:v>Supports core lane</x:v>
      </x:c>
      <x:c r="F17" s="116" t="str">
        <x:v>High</x:v>
      </x:c>
      <x:c r="G17" s="116" t="str">
        <x:v>Build web interfaces with HTML, CSS, JavaScript and basic web frameworks.</x:v>
      </x:c>
      <x:c r="H17" s="116" t="str">
        <x:v>HTML/CSS, JavaScript</x:v>
      </x:c>
      <x:c r="I17" s="116" t="str"/>
      <x:c r="J17" s="116" t="str"/>
      <x:c r="K17" s="116" t="str">
        <x:f>TEXTJOIN(", ",TRUE,H17:J17)</x:f>
        <x:v>HTML/CSS, JavaScript</x:v>
      </x:c>
      <x:c r="L17" s="116" t="str">
        <x:v>The role has a clear browser-facing skill bundle and distinct evidence requirements.</x:v>
      </x:c>
      <x:c r="M17" s="116" t="str">
        <x:v>PNet</x:v>
      </x:c>
      <x:c r="N17" s="116" t="str">
        <x:v>https://www.pnet.co.za/jobs--Junior-Web-Developer-5-Eglin-Sunninghill-Careerbox--4242380-inline.html?rltr=4_4_25_seorl_s_0_0_0_0_0_0</x:v>
      </x:c>
      <x:c r="O17" s="116" t="str"/>
    </x:row>
    <x:row r="18" ht="68" customHeight="1">
      <x:c r="A18" s="116" t="str">
        <x:v>SE-020</x:v>
      </x:c>
      <x:c r="B18" s="116" t="str">
        <x:v>Software Developer - Sandton</x:v>
      </x:c>
      <x:c r="C18" s="116" t="str">
        <x:v>Back-End &amp; Systems Integration Development</x:v>
      </x:c>
      <x:c r="D18" s="116" t="str">
        <x:v>Application &amp; Full-Stack Development</x:v>
      </x:c>
      <x:c r="E18" s="116" t="str">
        <x:v>Supports core lane</x:v>
      </x:c>
      <x:c r="F18" s="116" t="str">
        <x:v>High</x:v>
      </x:c>
      <x:c r="G18" s="116" t="str">
        <x:v>Develop Java/Spring services connected to SQL, APIs and cloud tooling.</x:v>
      </x:c>
      <x:c r="H18" s="116" t="str">
        <x:v>SQL, Java</x:v>
      </x:c>
      <x:c r="I18" s="116" t="str">
        <x:v>Spring</x:v>
      </x:c>
      <x:c r="J18" s="116" t="str">
        <x:v>AWS, Postman, Git/GitHub</x:v>
      </x:c>
      <x:c r="K18" s="116" t="str">
        <x:f>TEXTJOIN(", ",TRUE,H18:J18)</x:f>
        <x:v>SQL, Java, Spring, AWS, Postman, Git/GitHub</x:v>
      </x:c>
      <x:c r="L18" s="116" t="str">
        <x:v>The server-side language, framework, database, API and deployment combination supports a back-end route.</x:v>
      </x:c>
      <x:c r="M18" s="116" t="str">
        <x:v>PNet</x:v>
      </x:c>
      <x:c r="N18" s="116" t="str">
        <x:v>https://www.pnet.co.za/jobs--Software-Developer-Sandton-Sandton-Catch-Recruit--4242450-inline.html?rltr=2_2_25_seorl_s_0_0_0_0_0_0</x:v>
      </x:c>
      <x:c r="O18" s="116" t="str">
        <x:v>Evidence verified 2026-08-11. The source explicitly supports Java, SQL, Spring and Git; unsupported Python, Django and Express values were removed.</x:v>
      </x:c>
    </x:row>
    <x:row r="19" ht="68" customHeight="1">
      <x:c r="A19" s="116" t="str">
        <x:v>SE-021</x:v>
      </x:c>
      <x:c r="B19" s="116" t="str">
        <x:v>Software Engineer - Java</x:v>
      </x:c>
      <x:c r="C19" s="116" t="str">
        <x:v>Back-End &amp; Systems Integration Development</x:v>
      </x:c>
      <x:c r="D19" s="116" t="str">
        <x:v>Application &amp; Full-Stack Development</x:v>
      </x:c>
      <x:c r="E19" s="116" t="str">
        <x:v>Supports core lane</x:v>
      </x:c>
      <x:c r="F19" s="116" t="str">
        <x:v>High</x:v>
      </x:c>
      <x:c r="G19" s="116" t="str">
        <x:v>Develop Java/Hibernate software connected to relational databases and web technologies.</x:v>
      </x:c>
      <x:c r="H19" s="116" t="str">
        <x:v>Java, HTML/CSS, JavaScript, SQL</x:v>
      </x:c>
      <x:c r="I19" s="116" t="str">
        <x:v>Hibernate</x:v>
      </x:c>
      <x:c r="J19" s="116" t="str">
        <x:v>MySQL, SQL Server, Git/GitHub, Linux</x:v>
      </x:c>
      <x:c r="K19" s="116" t="str">
        <x:f>TEXTJOIN(", ",TRUE,H19:J19)</x:f>
        <x:v>Java, HTML/CSS, JavaScript, SQL, Hibernate, MySQL, SQL Server, Git/GitHub, Linux</x:v>
      </x:c>
      <x:c r="L19" s="116" t="str">
        <x:v>The Java persistence and database emphasis supports the back-end route despite some browser-technology overlap.</x:v>
      </x:c>
      <x:c r="M19" s="116" t="str">
        <x:v>PNet</x:v>
      </x:c>
      <x:c r="N19" s="116" t="str">
        <x:v>https://www.pnet.co.za/jobs--Software-Engineer-Java-Kenilworth-Cape-Town-Hybrid-or-Bryanston-Hybrid-Top-Recruitment--4246386-inline.html?rltr=22_22_25_seorl_s_0_0_0_0_0_0</x:v>
      </x:c>
      <x:c r="O19" s="116" t="str">
        <x:v>Evidence verified 2026-08-11. Source supports Java, HTML/CSS, JavaScript, SQL, Hibernate and Git. Listing covers Cape Town or Bryanston and contains conflicting senior/recent-graduate wording; retained under the explicit junior pathway rule.</x:v>
      </x:c>
    </x:row>
    <x:row r="20" ht="68" customHeight="1">
      <x:c r="A20" s="116" t="str">
        <x:v>SE-022</x:v>
      </x:c>
      <x:c r="B20" s="116" t="str">
        <x:v>Junior Software Engineer (C#, C++, Java, Python, Kotlin) (CPT Remote)</x:v>
      </x:c>
      <x:c r="C20" s="116" t="str">
        <x:v>Application &amp; Full-Stack Development</x:v>
      </x:c>
      <x:c r="D20" s="116" t="str">
        <x:v>Back-End &amp; Systems Integration Development</x:v>
      </x:c>
      <x:c r="E20" s="116" t="str">
        <x:v>Supports core lane</x:v>
      </x:c>
      <x:c r="F20" s="116" t="str">
        <x:v>High</x:v>
      </x:c>
      <x:c r="G20" s="116" t="str">
        <x:v>Design and implement information systems using REST APIs, MVC and several languages.</x:v>
      </x:c>
      <x:c r="H20" s="116" t="str">
        <x:v>C++, C#, Java, Python, Kotlin, JavaScript, SQL</x:v>
      </x:c>
      <x:c r="I20" s="116" t="str">
        <x:v>.NET, React</x:v>
      </x:c>
      <x:c r="J20" s="116" t="str">
        <x:v>Git/GitHub, AWS</x:v>
      </x:c>
      <x:c r="K20" s="116" t="str">
        <x:f>TEXTJOIN(", ",TRUE,H20:J20)</x:f>
        <x:v>C++, C#, Java, Python, Kotlin, JavaScript, SQL, .NET, React, Git/GitHub, AWS</x:v>
      </x:c>
      <x:c r="L20" s="116" t="str">
        <x:v>The role spans application architecture, services and implementation, making full-stack/application the strongest primary fit.</x:v>
      </x:c>
      <x:c r="M20" s="116" t="str">
        <x:v>CareerJunction</x:v>
      </x:c>
      <x:c r="N20" s="116" t="str">
        <x:v>https://www.careerjunction.co.za/junior-software-engineer-c%23-c++-java-python-kotlin-cpt-remote-job-2642520.aspx</x:v>
      </x:c>
      <x:c r="O20" s="116" t="str">
        <x:v>Evidence verified 2026-08-11. Source explicitly names C++, C#, Java, Python, Kotlin, JavaScript, SQL and Git.</x:v>
      </x:c>
    </x:row>
    <x:row r="21" ht="68" customHeight="1">
      <x:c r="A21" s="116" t="str">
        <x:v>SE-024</x:v>
      </x:c>
      <x:c r="B21" s="116" t="str">
        <x:v>Junior Full Stack Developer</x:v>
      </x:c>
      <x:c r="C21" s="116" t="str">
        <x:v>Application &amp; Full-Stack Development</x:v>
      </x:c>
      <x:c r="D21" s="116" t="str">
        <x:v>Microsoft/.NET stack variant</x:v>
      </x:c>
      <x:c r="E21" s="116" t="str">
        <x:v>Supports core lane</x:v>
      </x:c>
      <x:c r="F21" s="116" t="str">
        <x:v>High</x:v>
      </x:c>
      <x:c r="G21" s="116" t="str">
        <x:v>Build full-stack applications with C#, .NET, SQL Server, browser technologies, Git and Azure.</x:v>
      </x:c>
      <x:c r="H21" s="116" t="str">
        <x:v>C#, SQL, HTML/CSS, JavaScript</x:v>
      </x:c>
      <x:c r="I21" s="116" t="str">
        <x:v>.NET</x:v>
      </x:c>
      <x:c r="J21" s="116" t="str">
        <x:v>SQL Server, Git/GitHub, Azure</x:v>
      </x:c>
      <x:c r="K21" s="116" t="str">
        <x:f>TEXTJOIN(", ",TRUE,H21:J21)</x:f>
        <x:v>C#, SQL, HTML/CSS, JavaScript, .NET, SQL Server, Git/GitHub, Azure</x:v>
      </x:c>
      <x:c r="L21" s="116" t="str">
        <x:v>This is direct evidence for the dominant application/full-stack route and its Microsoft-oriented stack variant.</x:v>
      </x:c>
      <x:c r="M21" s="116" t="str">
        <x:v>Indeed</x:v>
      </x:c>
      <x:c r="N21" s="116" t="str">
        <x:v>https://za.indeed.com/uie/clk?e=AAAAAWXRCDNvJHS04nUigQZJKMWthDF1_aeBbXK9qH91S65Pd0cFocmoKGL7CLNocshwe_fvR9yym45rjHn5WnMOrmnbttjxIM6Iyh4UplTNPBZd8GrG6AJcVoqHYX-9RHBtnx8eKcFA1ChN-CsC8UBmZtQlh3pgOFSqXegSWi9MTlmxTAq9h3fhvpHn9y_lHTtDwL_GhSUbfJqZvw4M5jiszVDKorjfSqANbIkMb12Gmc5pGjyNQjBd1aeiGCyKWXVcS-hHFuEIx78dNjZdE1JEhopXdtjlidr4te4S79dcooMbfJaF2-PyMOYhUhpVk8PzAff2o26VE97K17OpKEHPwFG1RidF64YcXosbAoRtiXdNlfbrJy3L7Tgz3PJ-uiigtMmb0Qiay46atgIQsNOe-XX8nolyOK_GbG2SsEVDEIJ8GfnB41oGFctREeJcmi3SwxdF42GlIKqdl5TsWhmj7TtCfwgRJs9bmaZ_o3NdI-RJWwBEw0AC0RWDi8DN17TRnZGjTBulCVXA7LYfthmyopt4tQx8k9uGEeoHhwwiGeFiVb79seyLmTFFAmHwh2B6lWzFtbd1F7J88uVs2ri0QHlp8JainZlFZtl7M4rv82l9mnltA01U9tLptlljB9JgdPr480zI2fas55mX7IY6FowDODd9CRjOy0X3sgcYdWPAyY44B6N-yw9PdUau4MgmkiLe1JDVhxuHlV8kTz95JuppuNRVHJZLWRUTf_2Ff85m6oK5cS6YAR9yOAocXkh2_7r5Q7obJbwQ3OjhsUDN597jAhUJQu5hCs6vQTdUIJ4qEsRouAjsnQUWSzRFDTH5nfhyF2Wj7A8yKBKtZTyXH9SJzN9I8wTfhUDw007qPU4TxPYsxR8hM60BXlVrEIdVydGwFMz_pH6obBoV34OaDV3SngbhVjg5CucYvwgqbazknOtXT3K-5JUtfB4xekeYHOhLHs3zSDJH_BTfL24HlAxF6OHuJqeN6k_588yuIRmLlbUbSF9JCeQncVl7XQgLbrBPEUC-28CoCwy65TR_Jcl6HTG2yBV-JTT1roOBmnSGkkTn7LklC9OzgLwXq0FzdhCSw42AcYQeZnINY1lvgia7l3i3wVpC614ZmlZwGUFGy8QDMpj-oQKAfrFY8mBQlrm7X3BwCD89IVA-UVMcviWtJgkjidI86MCxZjYRH1dzzs87HZmCLVzKha54jddag1WeBe2_MXa1mVOakl4lHTWiimgXIZQ853yO22xh92ElYHnjjMlGifBamq0dsdGgSSsXwa94ImfSaUr6Tyyu7oUkyYr9VRVrFjHJsNBZxoflXe0IME5Bdm1RSfOz6MpQzJeL0RleIDzHUzLJraWnpRLjdQ6VJvW4cJKv9gj6kaeJbYMFiHA6C0uBiuDF-_hkXmZGD1LSudZeTB_u5JW2yMU0MuI7Lz_LvfyjWjPcJ3uCDNP1he_FgA-X7XT8nvCqREh-E0AKkm5Q0ASzWzZ0ulfQiL6EsY0v75idv15a06gHfRo4IdtKwgyaxXu55OPj9bH7HstlHdKx3VpMSF_RIaIbPyt2LU5u-fG7AXfkvCAzGXRSkXE3ZEKzmSzyoclo&amp;jk=7b67dd67a0ef2cbd&amp;tk=1jvb0rijv25dt001&amp;from=company&amp;directia=1</x:v>
      </x:c>
      <x:c r="O21" s="116" t="str">
        <x:v>Manual pasted text was used.</x:v>
      </x:c>
    </x:row>
    <x:row r="22" ht="68" customHeight="1">
      <x:c r="A22" s="116" t="str">
        <x:v>SE-025</x:v>
      </x:c>
      <x:c r="B22" s="116" t="str">
        <x:v>AI Developer Intern</x:v>
      </x:c>
      <x:c r="C22" s="116" t="str">
        <x:v>Ambiguous lane evidence</x:v>
      </x:c>
      <x:c r="D22" s="116" t="str">
        <x:v>Application &amp; Full-Stack technology pattern</x:v>
      </x:c>
      <x:c r="E22" s="116" t="str">
        <x:v>Do not use to define a lane</x:v>
      </x:c>
      <x:c r="F22" s="116" t="str">
        <x:v>Low</x:v>
      </x:c>
      <x:c r="G22" s="116" t="str">
        <x:v>AI-labelled internship paired with the same captured .NET full-stack requirement text as SE-024.</x:v>
      </x:c>
      <x:c r="H22" s="116" t="str">
        <x:v>C#, SQL, HTML/CSS, JavaScript</x:v>
      </x:c>
      <x:c r="I22" s="116" t="str">
        <x:v>.NET</x:v>
      </x:c>
      <x:c r="J22" s="116" t="str">
        <x:v>SQL Server, Git/GitHub, Azure</x:v>
      </x:c>
      <x:c r="K22" s="116" t="str">
        <x:f>TEXTJOIN(", ",TRUE,H22:J22)</x:f>
        <x:v>C#, SQL, HTML/CSS, JavaScript, .NET, SQL Server, Git/GitHub, Azure</x:v>
      </x:c>
      <x:c r="L22" s="116" t="str">
        <x:v>The title and captured responsibilities conflict. It remains in the dataset but should not strengthen the AI or full-stack lane definition.</x:v>
      </x:c>
      <x:c r="M22" s="116" t="str">
        <x:v>Indeed</x:v>
      </x:c>
      <x:c r="N22" s="116" t="str">
        <x:v>https://za.indeed.com/viewjob?jk=e75d18b52953592f&amp;tk=1jvb0kk9326pq000&amp;from=serp&amp;vjs=3</x:v>
      </x:c>
      <x:c r="O22" s="116" t="str"/>
    </x:row>
    <x:row r="23" ht="68" customHeight="1">
      <x:c r="A23" s="116" t="str">
        <x:v>SE-026</x:v>
      </x:c>
      <x:c r="B23" s="116" t="str">
        <x:v>DEVELOPER INTERNSHIP</x:v>
      </x:c>
      <x:c r="C23" s="116" t="str">
        <x:v>General / Graduate Engineering Pathway</x:v>
      </x:c>
      <x:c r="D23" s="116" t="str">
        <x:v>Back-End &amp; Systems Integration Development</x:v>
      </x:c>
      <x:c r="E23" s="116" t="str">
        <x:v>Shared foundation evidence only</x:v>
      </x:c>
      <x:c r="F23" s="116" t="str">
        <x:v>High</x:v>
      </x:c>
      <x:c r="G23" s="116" t="str">
        <x:v>Four-month training route covering R&amp;D, Scrum, 4GL/Unix development, testing and debugging.</x:v>
      </x:c>
      <x:c r="H23" s="116" t="str"/>
      <x:c r="I23" s="116" t="str"/>
      <x:c r="J23" s="116" t="str"/>
      <x:c r="K23" s="116" t="str">
        <x:f>TEXTJOIN(", ",TRUE,H23:J23)</x:f>
      </x:c>
      <x:c r="L23" s="116" t="str">
        <x:v>This is a credible entry pathway and shared foundation, but its training format is not a distinct long-term career lane.</x:v>
      </x:c>
      <x:c r="M23" s="116" t="str">
        <x:v>Jobleads careers</x:v>
      </x:c>
      <x:c r="N23" s="116" t="str">
        <x:v>https://www.jobleads.com/job/e226fa271cbbc1ba4375320faaba0c511</x:v>
      </x:c>
      <x:c r="O23" s="116" t="str">
        <x:v>Evidence verified 2026-08-11. Listing text explicitly states opportunities in either Cape Town or Johannesburg; the dual-city value is retained.</x:v>
      </x:c>
    </x:row>
    <x:row r="24" ht="68" customHeight="1">
      <x:c r="A24" s="116" t="str">
        <x:v>SE-027</x:v>
      </x:c>
      <x:c r="B24" s="116" t="str">
        <x:v>PHP Engineer</x:v>
      </x:c>
      <x:c r="C24" s="116" t="str">
        <x:v>Back-End &amp; Systems Integration Development</x:v>
      </x:c>
      <x:c r="D24" s="116" t="str">
        <x:v>Server-side web variant</x:v>
      </x:c>
      <x:c r="E24" s="116" t="str">
        <x:v>Supports core lane</x:v>
      </x:c>
      <x:c r="F24" s="116" t="str">
        <x:v>High</x:v>
      </x:c>
      <x:c r="G24" s="116" t="str">
        <x:v>Build and maintain server-side web services using PHP, SQL, MySQL, Linux, Git and debugging tools.</x:v>
      </x:c>
      <x:c r="H24" s="116" t="str">
        <x:v>PHP, SQL</x:v>
      </x:c>
      <x:c r="I24" s="116" t="str"/>
      <x:c r="J24" s="116" t="str">
        <x:v>Linux, Git/GitHub, MySQL</x:v>
      </x:c>
      <x:c r="K24" s="116" t="str">
        <x:f>TEXTJOIN(", ",TRUE,H24:J24)</x:f>
        <x:v>PHP, SQL, Linux, Git/GitHub, MySQL</x:v>
      </x:c>
      <x:c r="L24" s="116" t="str">
        <x:v>The role clearly separates server-side service, data and systems work from browser-interface specialisation.</x:v>
      </x:c>
      <x:c r="M24" s="116" t="str">
        <x:v>Indeed</x:v>
      </x:c>
      <x:c r="N24" s="116" t="str">
        <x:v>https://za.indeed.com/viewjob?jk=65799583cfa481bb&amp;tk=1jvb1ilo825en000&amp;from=serp&amp;vjs=3</x:v>
      </x:c>
      <x:c r="O24" s="116" t="str">
        <x:v>Manual pasted text was used.</x:v>
      </x:c>
    </x:row>
    <x:row r="25" ht="68" customHeight="1">
      <x:c r="A25" s="116" t="str">
        <x:v>SE-029</x:v>
      </x:c>
      <x:c r="B25" s="116" t="str">
        <x:v>Junior React Software Engineer</x:v>
      </x:c>
      <x:c r="C25" s="116" t="str">
        <x:v>Front-End &amp; Web Interface Development</x:v>
      </x:c>
      <x:c r="D25" s="116" t="str">
        <x:v>Application &amp; Full-Stack Development</x:v>
      </x:c>
      <x:c r="E25" s="116" t="str">
        <x:v>Supports core lane</x:v>
      </x:c>
      <x:c r="F25" s="116" t="str">
        <x:v>High</x:v>
      </x:c>
      <x:c r="G25" s="116" t="str">
        <x:v>Engineer enterprise single-page applications, state management, reusable components, performance and accessibility.</x:v>
      </x:c>
      <x:c r="H25" s="116" t="str">
        <x:v>JavaScript, TypeScript</x:v>
      </x:c>
      <x:c r="I25" s="116" t="str">
        <x:v>React, Angular, Vue</x:v>
      </x:c>
      <x:c r="J25" s="116" t="str"/>
      <x:c r="K25" s="116" t="str">
        <x:f>TEXTJOIN(", ",TRUE,H25:J25)</x:f>
        <x:v>JavaScript, TypeScript, React, Angular, Vue</x:v>
      </x:c>
      <x:c r="L25" s="116" t="str">
        <x:v>The responsibilities show client-side depth that would be lost inside a generic full-stack description.</x:v>
      </x:c>
      <x:c r="M25" s="116" t="str">
        <x:v>Indeed</x:v>
      </x:c>
      <x:c r="N25" s="116" t="str">
        <x:v>https://za.indeed.com/rc/clk?jk=af5c63d244f549a3&amp;bb=YT5S7NUbwfun40PEpIGwfwW6BUlmonZPKfI3VWzs0P9GNhKrZUrNDrTpaSt7XWN5_rCzZpXIfPd6A3upgqw4KHkIc6GNjEaah8YC5oPBVqq8CSlJJ5dpqKh1ClFZBO7vS_XjQZTPzSx56vve2aRSbnXUrvuiMVhJQgwLUdDOt_oitYyUEcha2g%3D%3D&amp;xkcb=SoCe67M3grLFZ5TDRR0BbzkdCdPP&amp;fccid=acd2abe34de3a396&amp;vjs=3</x:v>
      </x:c>
      <x:c r="O25" s="116" t="str">
        <x:v>Manual pasted text was used.</x:v>
      </x:c>
    </x:row>
    <x:row r="26" ht="68" customHeight="1">
      <x:c r="A26" s="116" t="str">
        <x:v>SE-030</x:v>
      </x:c>
      <x:c r="B26" s="116" t="str">
        <x:v>JUNIOR / MID FULL STACK DEVELOPER</x:v>
      </x:c>
      <x:c r="C26" s="116" t="str">
        <x:v>Application &amp; Full-Stack Development</x:v>
      </x:c>
      <x:c r="D26" s="116" t="str">
        <x:v>Front-End &amp; Web Interface Development</x:v>
      </x:c>
      <x:c r="E26" s="116" t="str">
        <x:v>Supports core lane</x:v>
      </x:c>
      <x:c r="F26" s="116" t="str">
        <x:v>High</x:v>
      </x:c>
      <x:c r="G26" s="116" t="str">
        <x:v>Build and integrate web applications, APIs and multiple data sources while working with technical stakeholders.</x:v>
      </x:c>
      <x:c r="H26" s="116" t="str">
        <x:v>HTML/CSS, JavaScript</x:v>
      </x:c>
      <x:c r="I26" s="116" t="str">
        <x:v>Angular, React</x:v>
      </x:c>
      <x:c r="J26" s="116" t="str"/>
      <x:c r="K26" s="116" t="str">
        <x:f>TEXTJOIN(", ",TRUE,H26:J26)</x:f>
        <x:v>HTML/CSS, JavaScript, Angular, React</x:v>
      </x:c>
      <x:c r="L26" s="116" t="str">
        <x:v>The responsibilities span interface, integration and data work, supporting the end-to-end application route.</x:v>
      </x:c>
      <x:c r="M26" s="116" t="str">
        <x:v>Indeed</x:v>
      </x:c>
      <x:c r="N26" s="116" t="str">
        <x:v>https://za.indeed.com/rc/clk?jk=e2d4d0efbfa8c36f&amp;bb=5QHo-p2Tt5zm12HNeHe_p28LpNMqsQavlERVyo3PzboknWzJhuRWnYuHmw1G11cXXJG9O7vkiM7HHOkWnIIbvqjOI1FW6QaTA-Yxb1gAyyXA5TPl-O2BJYsC-D_VapFRd0_N8ZJsoiKNBHrn0lOBDsFAz-qL0wL0sBVewTNkcMY8_mptbwta8g%3D%3D&amp;xkcb=SoDs67M3grM77rgfRL0LbzkdCdPP&amp;fccid=651a65d4f7f3b6b2&amp;vjs=3</x:v>
      </x:c>
      <x:c r="O26" s="116" t="str">
        <x:v>Evidence verified 2026-08-11. Source explicitly describes JavaScript front-end technologies (React/Angular) and HTML/CSS; JavaScript was added.</x:v>
      </x:c>
    </x:row>
  </x:sheetData>
  <x:mergeCells>
    <x:mergeCell ref="A1:O1"/>
    <x:mergeCell ref="A2:O2"/>
  </x:mergeCells>
  <x:conditionalFormatting sqref="E5:E26">
    <x:cfRule type="containsText" dxfId="0" priority="1" operator="containsText" text="Supports core lane"/>
    <x:cfRule type="containsText" dxfId="1" priority="2" operator="containsText" text="exploratory"/>
    <x:cfRule type="containsText" dxfId="2" priority="3" operator="containsText" text="Do not use"/>
  </x:conditionalFormatting>
  <x:pageMargins left="0.7" right="0.7" top="0.75" bottom="0.75" header="0.3" footer="0.3"/>
  <x:tableParts count="1">
    <x:tablePart xmlns:r="http://schemas.openxmlformats.org/officeDocument/2006/relationships" r:id="Rdca9464ec0ca498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4" hidden="0" customWidth="1"/>
    <x:col min="3" max="3" width="17" hidden="0" customWidth="1"/>
    <x:col min="4" max="4" width="15" hidden="0" customWidth="1"/>
    <x:col min="5" max="5" width="17" hidden="0" customWidth="1"/>
  </x:cols>
  <x:sheetData>
    <x:row r="1" ht="34" customHeight="1">
      <x:c r="A1" s="98" t="str">
        <x:v>Skill signals within primary-coded groups</x:v>
      </x:c>
      <x:c r="B1" s="98"/>
      <x:c r="C1" s="98"/>
      <x:c r="D1" s="98"/>
      <x:c r="E1" s="98"/>
    </x:row>
    <x:row r="2" ht="30" customHeight="1">
      <x:c r="A2" s="99" t="str">
        <x:v>Counts show explicit mentions among posts assigned to each primary group. These signals support interpretation; skills alone did not define the lanes.</x:v>
      </x:c>
      <x:c r="B2" s="99"/>
      <x:c r="C2" s="99"/>
      <x:c r="D2" s="99"/>
      <x:c r="E2" s="99"/>
    </x:row>
    <x:row r="3">
      <x:c r="A3" s="100"/>
      <x:c r="B3" s="100"/>
      <x:c r="C3" s="100"/>
      <x:c r="D3" s="100"/>
      <x:c r="E3" s="100"/>
    </x:row>
    <x:row r="4" ht="30" customHeight="1">
      <x:c r="A4" s="108" t="str">
        <x:v>Primary group</x:v>
      </x:c>
      <x:c r="B4" s="109" t="str">
        <x:v>Skill / tool</x:v>
      </x:c>
      <x:c r="C4" s="109" t="str">
        <x:v>Explicit mentions</x:v>
      </x:c>
      <x:c r="D4" s="109" t="str">
        <x:v>Primary posts</x:v>
      </x:c>
      <x:c r="E4" s="110" t="str">
        <x:v>Share of group</x:v>
      </x:c>
    </x:row>
    <x:row r="5" ht="25" customHeight="1">
      <x:c r="A5" s="111" t="str">
        <x:v>Application &amp; Full-Stack Development</x:v>
      </x:c>
      <x:c r="B5" s="111" t="str">
        <x:v>SQL</x:v>
      </x:c>
      <x:c r="C5" s="158" t="n">
        <x:f>IF(AND('Post Coding'!$C$5=$A5,ISNUMBER(SEARCH(", "&amp;$B5&amp;",",", "&amp;'Post Coding'!$H$5&amp;","))),1,0)+IF(AND('Post Coding'!$C$6=$A5,ISNUMBER(SEARCH(", "&amp;$B5&amp;",",", "&amp;'Post Coding'!$H$6&amp;","))),1,0)+IF(AND('Post Coding'!$C$7=$A5,ISNUMBER(SEARCH(", "&amp;$B5&amp;",",", "&amp;'Post Coding'!$H$7&amp;","))),1,0)+IF(AND('Post Coding'!$C$8=$A5,ISNUMBER(SEARCH(", "&amp;$B5&amp;",",", "&amp;'Post Coding'!$H$8&amp;","))),1,0)+IF(AND('Post Coding'!$C$9=$A5,ISNUMBER(SEARCH(", "&amp;$B5&amp;",",", "&amp;'Post Coding'!$H$9&amp;","))),1,0)+IF(AND('Post Coding'!$C$10=$A5,ISNUMBER(SEARCH(", "&amp;$B5&amp;",",", "&amp;'Post Coding'!$H$10&amp;","))),1,0)+IF(AND('Post Coding'!$C$11=$A5,ISNUMBER(SEARCH(", "&amp;$B5&amp;",",", "&amp;'Post Coding'!$H$11&amp;","))),1,0)+IF(AND('Post Coding'!$C$12=$A5,ISNUMBER(SEARCH(", "&amp;$B5&amp;",",", "&amp;'Post Coding'!$H$12&amp;","))),1,0)+IF(AND('Post Coding'!$C$13=$A5,ISNUMBER(SEARCH(", "&amp;$B5&amp;",",", "&amp;'Post Coding'!$H$13&amp;","))),1,0)+IF(AND('Post Coding'!$C$14=$A5,ISNUMBER(SEARCH(", "&amp;$B5&amp;",",", "&amp;'Post Coding'!$H$14&amp;","))),1,0)+IF(AND('Post Coding'!$C$15=$A5,ISNUMBER(SEARCH(", "&amp;$B5&amp;",",", "&amp;'Post Coding'!$H$15&amp;","))),1,0)+IF(AND('Post Coding'!$C$16=$A5,ISNUMBER(SEARCH(", "&amp;$B5&amp;",",", "&amp;'Post Coding'!$H$16&amp;","))),1,0)+IF(AND('Post Coding'!$C$17=$A5,ISNUMBER(SEARCH(", "&amp;$B5&amp;",",", "&amp;'Post Coding'!$H$17&amp;","))),1,0)+IF(AND('Post Coding'!$C$18=$A5,ISNUMBER(SEARCH(", "&amp;$B5&amp;",",", "&amp;'Post Coding'!$H$18&amp;","))),1,0)+IF(AND('Post Coding'!$C$19=$A5,ISNUMBER(SEARCH(", "&amp;$B5&amp;",",", "&amp;'Post Coding'!$H$19&amp;","))),1,0)+IF(AND('Post Coding'!$C$20=$A5,ISNUMBER(SEARCH(", "&amp;$B5&amp;",",", "&amp;'Post Coding'!$H$20&amp;","))),1,0)+IF(AND('Post Coding'!$C$21=$A5,ISNUMBER(SEARCH(", "&amp;$B5&amp;",",", "&amp;'Post Coding'!$H$21&amp;","))),1,0)+IF(AND('Post Coding'!$C$22=$A5,ISNUMBER(SEARCH(", "&amp;$B5&amp;",",", "&amp;'Post Coding'!$H$22&amp;","))),1,0)+IF(AND('Post Coding'!$C$23=$A5,ISNUMBER(SEARCH(", "&amp;$B5&amp;",",", "&amp;'Post Coding'!$H$23&amp;","))),1,0)+IF(AND('Post Coding'!$C$24=$A5,ISNUMBER(SEARCH(", "&amp;$B5&amp;",",", "&amp;'Post Coding'!$H$24&amp;","))),1,0)+IF(AND('Post Coding'!$C$25=$A5,ISNUMBER(SEARCH(", "&amp;$B5&amp;",",", "&amp;'Post Coding'!$H$25&amp;","))),1,0)+IF(AND('Post Coding'!$C$26=$A5,ISNUMBER(SEARCH(", "&amp;$B5&amp;",",", "&amp;'Post Coding'!$H$26&amp;","))),1,0)</x:f>
        <x:v>8</x:v>
      </x:c>
      <x:c r="D5" s="158" t="n">
        <x:f>COUNTIF('Post Coding'!$C$5:$C$26,A5)</x:f>
        <x:v>9</x:v>
      </x:c>
      <x:c r="E5" s="159" t="n">
        <x:f>IF(D5=0,0,C5/D5)</x:f>
        <x:v>0.8888888888888888</x:v>
      </x:c>
    </x:row>
    <x:row r="6" ht="25" customHeight="1">
      <x:c r="A6" s="116" t="str">
        <x:v>Application &amp; Full-Stack Development</x:v>
      </x:c>
      <x:c r="B6" s="116" t="str">
        <x:v>C#</x:v>
      </x:c>
      <x:c r="C6" s="160" t="n">
        <x:f>IF(AND('Post Coding'!$C$5=$A6,ISNUMBER(SEARCH(", "&amp;$B6&amp;",",", "&amp;'Post Coding'!$H$5&amp;","))),1,0)+IF(AND('Post Coding'!$C$6=$A6,ISNUMBER(SEARCH(", "&amp;$B6&amp;",",", "&amp;'Post Coding'!$H$6&amp;","))),1,0)+IF(AND('Post Coding'!$C$7=$A6,ISNUMBER(SEARCH(", "&amp;$B6&amp;",",", "&amp;'Post Coding'!$H$7&amp;","))),1,0)+IF(AND('Post Coding'!$C$8=$A6,ISNUMBER(SEARCH(", "&amp;$B6&amp;",",", "&amp;'Post Coding'!$H$8&amp;","))),1,0)+IF(AND('Post Coding'!$C$9=$A6,ISNUMBER(SEARCH(", "&amp;$B6&amp;",",", "&amp;'Post Coding'!$H$9&amp;","))),1,0)+IF(AND('Post Coding'!$C$10=$A6,ISNUMBER(SEARCH(", "&amp;$B6&amp;",",", "&amp;'Post Coding'!$H$10&amp;","))),1,0)+IF(AND('Post Coding'!$C$11=$A6,ISNUMBER(SEARCH(", "&amp;$B6&amp;",",", "&amp;'Post Coding'!$H$11&amp;","))),1,0)+IF(AND('Post Coding'!$C$12=$A6,ISNUMBER(SEARCH(", "&amp;$B6&amp;",",", "&amp;'Post Coding'!$H$12&amp;","))),1,0)+IF(AND('Post Coding'!$C$13=$A6,ISNUMBER(SEARCH(", "&amp;$B6&amp;",",", "&amp;'Post Coding'!$H$13&amp;","))),1,0)+IF(AND('Post Coding'!$C$14=$A6,ISNUMBER(SEARCH(", "&amp;$B6&amp;",",", "&amp;'Post Coding'!$H$14&amp;","))),1,0)+IF(AND('Post Coding'!$C$15=$A6,ISNUMBER(SEARCH(", "&amp;$B6&amp;",",", "&amp;'Post Coding'!$H$15&amp;","))),1,0)+IF(AND('Post Coding'!$C$16=$A6,ISNUMBER(SEARCH(", "&amp;$B6&amp;",",", "&amp;'Post Coding'!$H$16&amp;","))),1,0)+IF(AND('Post Coding'!$C$17=$A6,ISNUMBER(SEARCH(", "&amp;$B6&amp;",",", "&amp;'Post Coding'!$H$17&amp;","))),1,0)+IF(AND('Post Coding'!$C$18=$A6,ISNUMBER(SEARCH(", "&amp;$B6&amp;",",", "&amp;'Post Coding'!$H$18&amp;","))),1,0)+IF(AND('Post Coding'!$C$19=$A6,ISNUMBER(SEARCH(", "&amp;$B6&amp;",",", "&amp;'Post Coding'!$H$19&amp;","))),1,0)+IF(AND('Post Coding'!$C$20=$A6,ISNUMBER(SEARCH(", "&amp;$B6&amp;",",", "&amp;'Post Coding'!$H$20&amp;","))),1,0)+IF(AND('Post Coding'!$C$21=$A6,ISNUMBER(SEARCH(", "&amp;$B6&amp;",",", "&amp;'Post Coding'!$H$21&amp;","))),1,0)+IF(AND('Post Coding'!$C$22=$A6,ISNUMBER(SEARCH(", "&amp;$B6&amp;",",", "&amp;'Post Coding'!$H$22&amp;","))),1,0)+IF(AND('Post Coding'!$C$23=$A6,ISNUMBER(SEARCH(", "&amp;$B6&amp;",",", "&amp;'Post Coding'!$H$23&amp;","))),1,0)+IF(AND('Post Coding'!$C$24=$A6,ISNUMBER(SEARCH(", "&amp;$B6&amp;",",", "&amp;'Post Coding'!$H$24&amp;","))),1,0)+IF(AND('Post Coding'!$C$25=$A6,ISNUMBER(SEARCH(", "&amp;$B6&amp;",",", "&amp;'Post Coding'!$H$25&amp;","))),1,0)+IF(AND('Post Coding'!$C$26=$A6,ISNUMBER(SEARCH(", "&amp;$B6&amp;",",", "&amp;'Post Coding'!$H$26&amp;","))),1,0)</x:f>
        <x:v>7</x:v>
      </x:c>
      <x:c r="D6" s="160" t="n">
        <x:f>COUNTIF('Post Coding'!$C$5:$C$26,A6)</x:f>
        <x:v>9</x:v>
      </x:c>
      <x:c r="E6" s="161" t="n">
        <x:f>IF(D6=0,0,C6/D6)</x:f>
        <x:v>0.7777777777777778</x:v>
      </x:c>
    </x:row>
    <x:row r="7" ht="25" customHeight="1">
      <x:c r="A7" s="116" t="str">
        <x:v>Application &amp; Full-Stack Development</x:v>
      </x:c>
      <x:c r="B7" s="116" t="str">
        <x:v>JavaScript</x:v>
      </x:c>
      <x:c r="C7" s="160" t="n">
        <x:f>IF(AND('Post Coding'!$C$5=$A7,ISNUMBER(SEARCH(", "&amp;$B7&amp;",",", "&amp;'Post Coding'!$H$5&amp;","))),1,0)+IF(AND('Post Coding'!$C$6=$A7,ISNUMBER(SEARCH(", "&amp;$B7&amp;",",", "&amp;'Post Coding'!$H$6&amp;","))),1,0)+IF(AND('Post Coding'!$C$7=$A7,ISNUMBER(SEARCH(", "&amp;$B7&amp;",",", "&amp;'Post Coding'!$H$7&amp;","))),1,0)+IF(AND('Post Coding'!$C$8=$A7,ISNUMBER(SEARCH(", "&amp;$B7&amp;",",", "&amp;'Post Coding'!$H$8&amp;","))),1,0)+IF(AND('Post Coding'!$C$9=$A7,ISNUMBER(SEARCH(", "&amp;$B7&amp;",",", "&amp;'Post Coding'!$H$9&amp;","))),1,0)+IF(AND('Post Coding'!$C$10=$A7,ISNUMBER(SEARCH(", "&amp;$B7&amp;",",", "&amp;'Post Coding'!$H$10&amp;","))),1,0)+IF(AND('Post Coding'!$C$11=$A7,ISNUMBER(SEARCH(", "&amp;$B7&amp;",",", "&amp;'Post Coding'!$H$11&amp;","))),1,0)+IF(AND('Post Coding'!$C$12=$A7,ISNUMBER(SEARCH(", "&amp;$B7&amp;",",", "&amp;'Post Coding'!$H$12&amp;","))),1,0)+IF(AND('Post Coding'!$C$13=$A7,ISNUMBER(SEARCH(", "&amp;$B7&amp;",",", "&amp;'Post Coding'!$H$13&amp;","))),1,0)+IF(AND('Post Coding'!$C$14=$A7,ISNUMBER(SEARCH(", "&amp;$B7&amp;",",", "&amp;'Post Coding'!$H$14&amp;","))),1,0)+IF(AND('Post Coding'!$C$15=$A7,ISNUMBER(SEARCH(", "&amp;$B7&amp;",",", "&amp;'Post Coding'!$H$15&amp;","))),1,0)+IF(AND('Post Coding'!$C$16=$A7,ISNUMBER(SEARCH(", "&amp;$B7&amp;",",", "&amp;'Post Coding'!$H$16&amp;","))),1,0)+IF(AND('Post Coding'!$C$17=$A7,ISNUMBER(SEARCH(", "&amp;$B7&amp;",",", "&amp;'Post Coding'!$H$17&amp;","))),1,0)+IF(AND('Post Coding'!$C$18=$A7,ISNUMBER(SEARCH(", "&amp;$B7&amp;",",", "&amp;'Post Coding'!$H$18&amp;","))),1,0)+IF(AND('Post Coding'!$C$19=$A7,ISNUMBER(SEARCH(", "&amp;$B7&amp;",",", "&amp;'Post Coding'!$H$19&amp;","))),1,0)+IF(AND('Post Coding'!$C$20=$A7,ISNUMBER(SEARCH(", "&amp;$B7&amp;",",", "&amp;'Post Coding'!$H$20&amp;","))),1,0)+IF(AND('Post Coding'!$C$21=$A7,ISNUMBER(SEARCH(", "&amp;$B7&amp;",",", "&amp;'Post Coding'!$H$21&amp;","))),1,0)+IF(AND('Post Coding'!$C$22=$A7,ISNUMBER(SEARCH(", "&amp;$B7&amp;",",", "&amp;'Post Coding'!$H$22&amp;","))),1,0)+IF(AND('Post Coding'!$C$23=$A7,ISNUMBER(SEARCH(", "&amp;$B7&amp;",",", "&amp;'Post Coding'!$H$23&amp;","))),1,0)+IF(AND('Post Coding'!$C$24=$A7,ISNUMBER(SEARCH(", "&amp;$B7&amp;",",", "&amp;'Post Coding'!$H$24&amp;","))),1,0)+IF(AND('Post Coding'!$C$25=$A7,ISNUMBER(SEARCH(", "&amp;$B7&amp;",",", "&amp;'Post Coding'!$H$25&amp;","))),1,0)+IF(AND('Post Coding'!$C$26=$A7,ISNUMBER(SEARCH(", "&amp;$B7&amp;",",", "&amp;'Post Coding'!$H$26&amp;","))),1,0)</x:f>
        <x:v>7</x:v>
      </x:c>
      <x:c r="D7" s="160" t="n">
        <x:f>COUNTIF('Post Coding'!$C$5:$C$26,A7)</x:f>
        <x:v>9</x:v>
      </x:c>
      <x:c r="E7" s="161" t="n">
        <x:f>IF(D7=0,0,C7/D7)</x:f>
        <x:v>0.7777777777777778</x:v>
      </x:c>
    </x:row>
    <x:row r="8" ht="25" customHeight="1">
      <x:c r="A8" s="116" t="str">
        <x:v>Application &amp; Full-Stack Development</x:v>
      </x:c>
      <x:c r="B8" s="116" t="str">
        <x:v>.NET</x:v>
      </x:c>
      <x:c r="C8" s="160" t="n">
        <x:f>IF(AND('Post Coding'!$C$5=$A8,ISNUMBER(SEARCH(", "&amp;$B8&amp;",",", "&amp;'Post Coding'!$I$5&amp;","))),1,0)+IF(AND('Post Coding'!$C$6=$A8,ISNUMBER(SEARCH(", "&amp;$B8&amp;",",", "&amp;'Post Coding'!$I$6&amp;","))),1,0)+IF(AND('Post Coding'!$C$7=$A8,ISNUMBER(SEARCH(", "&amp;$B8&amp;",",", "&amp;'Post Coding'!$I$7&amp;","))),1,0)+IF(AND('Post Coding'!$C$8=$A8,ISNUMBER(SEARCH(", "&amp;$B8&amp;",",", "&amp;'Post Coding'!$I$8&amp;","))),1,0)+IF(AND('Post Coding'!$C$9=$A8,ISNUMBER(SEARCH(", "&amp;$B8&amp;",",", "&amp;'Post Coding'!$I$9&amp;","))),1,0)+IF(AND('Post Coding'!$C$10=$A8,ISNUMBER(SEARCH(", "&amp;$B8&amp;",",", "&amp;'Post Coding'!$I$10&amp;","))),1,0)+IF(AND('Post Coding'!$C$11=$A8,ISNUMBER(SEARCH(", "&amp;$B8&amp;",",", "&amp;'Post Coding'!$I$11&amp;","))),1,0)+IF(AND('Post Coding'!$C$12=$A8,ISNUMBER(SEARCH(", "&amp;$B8&amp;",",", "&amp;'Post Coding'!$I$12&amp;","))),1,0)+IF(AND('Post Coding'!$C$13=$A8,ISNUMBER(SEARCH(", "&amp;$B8&amp;",",", "&amp;'Post Coding'!$I$13&amp;","))),1,0)+IF(AND('Post Coding'!$C$14=$A8,ISNUMBER(SEARCH(", "&amp;$B8&amp;",",", "&amp;'Post Coding'!$I$14&amp;","))),1,0)+IF(AND('Post Coding'!$C$15=$A8,ISNUMBER(SEARCH(", "&amp;$B8&amp;",",", "&amp;'Post Coding'!$I$15&amp;","))),1,0)+IF(AND('Post Coding'!$C$16=$A8,ISNUMBER(SEARCH(", "&amp;$B8&amp;",",", "&amp;'Post Coding'!$I$16&amp;","))),1,0)+IF(AND('Post Coding'!$C$17=$A8,ISNUMBER(SEARCH(", "&amp;$B8&amp;",",", "&amp;'Post Coding'!$I$17&amp;","))),1,0)+IF(AND('Post Coding'!$C$18=$A8,ISNUMBER(SEARCH(", "&amp;$B8&amp;",",", "&amp;'Post Coding'!$I$18&amp;","))),1,0)+IF(AND('Post Coding'!$C$19=$A8,ISNUMBER(SEARCH(", "&amp;$B8&amp;",",", "&amp;'Post Coding'!$I$19&amp;","))),1,0)+IF(AND('Post Coding'!$C$20=$A8,ISNUMBER(SEARCH(", "&amp;$B8&amp;",",", "&amp;'Post Coding'!$I$20&amp;","))),1,0)+IF(AND('Post Coding'!$C$21=$A8,ISNUMBER(SEARCH(", "&amp;$B8&amp;",",", "&amp;'Post Coding'!$I$21&amp;","))),1,0)+IF(AND('Post Coding'!$C$22=$A8,ISNUMBER(SEARCH(", "&amp;$B8&amp;",",", "&amp;'Post Coding'!$I$22&amp;","))),1,0)+IF(AND('Post Coding'!$C$23=$A8,ISNUMBER(SEARCH(", "&amp;$B8&amp;",",", "&amp;'Post Coding'!$I$23&amp;","))),1,0)+IF(AND('Post Coding'!$C$24=$A8,ISNUMBER(SEARCH(", "&amp;$B8&amp;",",", "&amp;'Post Coding'!$I$24&amp;","))),1,0)+IF(AND('Post Coding'!$C$25=$A8,ISNUMBER(SEARCH(", "&amp;$B8&amp;",",", "&amp;'Post Coding'!$I$25&amp;","))),1,0)+IF(AND('Post Coding'!$C$26=$A8,ISNUMBER(SEARCH(", "&amp;$B8&amp;",",", "&amp;'Post Coding'!$I$26&amp;","))),1,0)</x:f>
        <x:v>6</x:v>
      </x:c>
      <x:c r="D8" s="160" t="n">
        <x:f>COUNTIF('Post Coding'!$C$5:$C$26,A8)</x:f>
        <x:v>9</x:v>
      </x:c>
      <x:c r="E8" s="161" t="n">
        <x:f>IF(D8=0,0,C8/D8)</x:f>
        <x:v>0.6666666666666666</x:v>
      </x:c>
    </x:row>
    <x:row r="9" ht="25" customHeight="1">
      <x:c r="A9" s="116" t="str">
        <x:v>Application &amp; Full-Stack Development</x:v>
      </x:c>
      <x:c r="B9" s="116" t="str">
        <x:v>HTML/CSS</x:v>
      </x:c>
      <x:c r="C9" s="160" t="n">
        <x:f>IF(AND('Post Coding'!$C$5=$A9,ISNUMBER(SEARCH(", "&amp;$B9&amp;",",", "&amp;'Post Coding'!$H$5&amp;","))),1,0)+IF(AND('Post Coding'!$C$6=$A9,ISNUMBER(SEARCH(", "&amp;$B9&amp;",",", "&amp;'Post Coding'!$H$6&amp;","))),1,0)+IF(AND('Post Coding'!$C$7=$A9,ISNUMBER(SEARCH(", "&amp;$B9&amp;",",", "&amp;'Post Coding'!$H$7&amp;","))),1,0)+IF(AND('Post Coding'!$C$8=$A9,ISNUMBER(SEARCH(", "&amp;$B9&amp;",",", "&amp;'Post Coding'!$H$8&amp;","))),1,0)+IF(AND('Post Coding'!$C$9=$A9,ISNUMBER(SEARCH(", "&amp;$B9&amp;",",", "&amp;'Post Coding'!$H$9&amp;","))),1,0)+IF(AND('Post Coding'!$C$10=$A9,ISNUMBER(SEARCH(", "&amp;$B9&amp;",",", "&amp;'Post Coding'!$H$10&amp;","))),1,0)+IF(AND('Post Coding'!$C$11=$A9,ISNUMBER(SEARCH(", "&amp;$B9&amp;",",", "&amp;'Post Coding'!$H$11&amp;","))),1,0)+IF(AND('Post Coding'!$C$12=$A9,ISNUMBER(SEARCH(", "&amp;$B9&amp;",",", "&amp;'Post Coding'!$H$12&amp;","))),1,0)+IF(AND('Post Coding'!$C$13=$A9,ISNUMBER(SEARCH(", "&amp;$B9&amp;",",", "&amp;'Post Coding'!$H$13&amp;","))),1,0)+IF(AND('Post Coding'!$C$14=$A9,ISNUMBER(SEARCH(", "&amp;$B9&amp;",",", "&amp;'Post Coding'!$H$14&amp;","))),1,0)+IF(AND('Post Coding'!$C$15=$A9,ISNUMBER(SEARCH(", "&amp;$B9&amp;",",", "&amp;'Post Coding'!$H$15&amp;","))),1,0)+IF(AND('Post Coding'!$C$16=$A9,ISNUMBER(SEARCH(", "&amp;$B9&amp;",",", "&amp;'Post Coding'!$H$16&amp;","))),1,0)+IF(AND('Post Coding'!$C$17=$A9,ISNUMBER(SEARCH(", "&amp;$B9&amp;",",", "&amp;'Post Coding'!$H$17&amp;","))),1,0)+IF(AND('Post Coding'!$C$18=$A9,ISNUMBER(SEARCH(", "&amp;$B9&amp;",",", "&amp;'Post Coding'!$H$18&amp;","))),1,0)+IF(AND('Post Coding'!$C$19=$A9,ISNUMBER(SEARCH(", "&amp;$B9&amp;",",", "&amp;'Post Coding'!$H$19&amp;","))),1,0)+IF(AND('Post Coding'!$C$20=$A9,ISNUMBER(SEARCH(", "&amp;$B9&amp;",",", "&amp;'Post Coding'!$H$20&amp;","))),1,0)+IF(AND('Post Coding'!$C$21=$A9,ISNUMBER(SEARCH(", "&amp;$B9&amp;",",", "&amp;'Post Coding'!$H$21&amp;","))),1,0)+IF(AND('Post Coding'!$C$22=$A9,ISNUMBER(SEARCH(", "&amp;$B9&amp;",",", "&amp;'Post Coding'!$H$22&amp;","))),1,0)+IF(AND('Post Coding'!$C$23=$A9,ISNUMBER(SEARCH(", "&amp;$B9&amp;",",", "&amp;'Post Coding'!$H$23&amp;","))),1,0)+IF(AND('Post Coding'!$C$24=$A9,ISNUMBER(SEARCH(", "&amp;$B9&amp;",",", "&amp;'Post Coding'!$H$24&amp;","))),1,0)+IF(AND('Post Coding'!$C$25=$A9,ISNUMBER(SEARCH(", "&amp;$B9&amp;",",", "&amp;'Post Coding'!$H$25&amp;","))),1,0)+IF(AND('Post Coding'!$C$26=$A9,ISNUMBER(SEARCH(", "&amp;$B9&amp;",",", "&amp;'Post Coding'!$H$26&amp;","))),1,0)</x:f>
        <x:v>5</x:v>
      </x:c>
      <x:c r="D9" s="160" t="n">
        <x:f>COUNTIF('Post Coding'!$C$5:$C$26,A9)</x:f>
        <x:v>9</x:v>
      </x:c>
      <x:c r="E9" s="161" t="n">
        <x:f>IF(D9=0,0,C9/D9)</x:f>
        <x:v>0.5555555555555556</x:v>
      </x:c>
    </x:row>
    <x:row r="10" ht="25" customHeight="1">
      <x:c r="A10" s="116" t="str">
        <x:v>Application &amp; Full-Stack Development</x:v>
      </x:c>
      <x:c r="B10" s="116" t="str">
        <x:v>React</x:v>
      </x:c>
      <x:c r="C10" s="160" t="n">
        <x:f>IF(AND('Post Coding'!$C$5=$A10,ISNUMBER(SEARCH(", "&amp;$B10&amp;",",", "&amp;'Post Coding'!$I$5&amp;","))),1,0)+IF(AND('Post Coding'!$C$6=$A10,ISNUMBER(SEARCH(", "&amp;$B10&amp;",",", "&amp;'Post Coding'!$I$6&amp;","))),1,0)+IF(AND('Post Coding'!$C$7=$A10,ISNUMBER(SEARCH(", "&amp;$B10&amp;",",", "&amp;'Post Coding'!$I$7&amp;","))),1,0)+IF(AND('Post Coding'!$C$8=$A10,ISNUMBER(SEARCH(", "&amp;$B10&amp;",",", "&amp;'Post Coding'!$I$8&amp;","))),1,0)+IF(AND('Post Coding'!$C$9=$A10,ISNUMBER(SEARCH(", "&amp;$B10&amp;",",", "&amp;'Post Coding'!$I$9&amp;","))),1,0)+IF(AND('Post Coding'!$C$10=$A10,ISNUMBER(SEARCH(", "&amp;$B10&amp;",",", "&amp;'Post Coding'!$I$10&amp;","))),1,0)+IF(AND('Post Coding'!$C$11=$A10,ISNUMBER(SEARCH(", "&amp;$B10&amp;",",", "&amp;'Post Coding'!$I$11&amp;","))),1,0)+IF(AND('Post Coding'!$C$12=$A10,ISNUMBER(SEARCH(", "&amp;$B10&amp;",",", "&amp;'Post Coding'!$I$12&amp;","))),1,0)+IF(AND('Post Coding'!$C$13=$A10,ISNUMBER(SEARCH(", "&amp;$B10&amp;",",", "&amp;'Post Coding'!$I$13&amp;","))),1,0)+IF(AND('Post Coding'!$C$14=$A10,ISNUMBER(SEARCH(", "&amp;$B10&amp;",",", "&amp;'Post Coding'!$I$14&amp;","))),1,0)+IF(AND('Post Coding'!$C$15=$A10,ISNUMBER(SEARCH(", "&amp;$B10&amp;",",", "&amp;'Post Coding'!$I$15&amp;","))),1,0)+IF(AND('Post Coding'!$C$16=$A10,ISNUMBER(SEARCH(", "&amp;$B10&amp;",",", "&amp;'Post Coding'!$I$16&amp;","))),1,0)+IF(AND('Post Coding'!$C$17=$A10,ISNUMBER(SEARCH(", "&amp;$B10&amp;",",", "&amp;'Post Coding'!$I$17&amp;","))),1,0)+IF(AND('Post Coding'!$C$18=$A10,ISNUMBER(SEARCH(", "&amp;$B10&amp;",",", "&amp;'Post Coding'!$I$18&amp;","))),1,0)+IF(AND('Post Coding'!$C$19=$A10,ISNUMBER(SEARCH(", "&amp;$B10&amp;",",", "&amp;'Post Coding'!$I$19&amp;","))),1,0)+IF(AND('Post Coding'!$C$20=$A10,ISNUMBER(SEARCH(", "&amp;$B10&amp;",",", "&amp;'Post Coding'!$I$20&amp;","))),1,0)+IF(AND('Post Coding'!$C$21=$A10,ISNUMBER(SEARCH(", "&amp;$B10&amp;",",", "&amp;'Post Coding'!$I$21&amp;","))),1,0)+IF(AND('Post Coding'!$C$22=$A10,ISNUMBER(SEARCH(", "&amp;$B10&amp;",",", "&amp;'Post Coding'!$I$22&amp;","))),1,0)+IF(AND('Post Coding'!$C$23=$A10,ISNUMBER(SEARCH(", "&amp;$B10&amp;",",", "&amp;'Post Coding'!$I$23&amp;","))),1,0)+IF(AND('Post Coding'!$C$24=$A10,ISNUMBER(SEARCH(", "&amp;$B10&amp;",",", "&amp;'Post Coding'!$I$24&amp;","))),1,0)+IF(AND('Post Coding'!$C$25=$A10,ISNUMBER(SEARCH(", "&amp;$B10&amp;",",", "&amp;'Post Coding'!$I$25&amp;","))),1,0)+IF(AND('Post Coding'!$C$26=$A10,ISNUMBER(SEARCH(", "&amp;$B10&amp;",",", "&amp;'Post Coding'!$I$26&amp;","))),1,0)</x:f>
        <x:v>4</x:v>
      </x:c>
      <x:c r="D10" s="160" t="n">
        <x:f>COUNTIF('Post Coding'!$C$5:$C$26,A10)</x:f>
        <x:v>9</x:v>
      </x:c>
      <x:c r="E10" s="161" t="n">
        <x:f>IF(D10=0,0,C10/D10)</x:f>
        <x:v>0.4444444444444444</x:v>
      </x:c>
    </x:row>
    <x:row r="11" ht="25" customHeight="1">
      <x:c r="A11" s="116" t="str">
        <x:v>Application &amp; Full-Stack Development</x:v>
      </x:c>
      <x:c r="B11" s="116" t="str">
        <x:v>Git/GitHub</x:v>
      </x:c>
      <x:c r="C11" s="160" t="n">
        <x:f>IF(AND('Post Coding'!$C$5=$A11,ISNUMBER(SEARCH(", "&amp;$B11&amp;",",", "&amp;'Post Coding'!$J$5&amp;","))),1,0)+IF(AND('Post Coding'!$C$6=$A11,ISNUMBER(SEARCH(", "&amp;$B11&amp;",",", "&amp;'Post Coding'!$J$6&amp;","))),1,0)+IF(AND('Post Coding'!$C$7=$A11,ISNUMBER(SEARCH(", "&amp;$B11&amp;",",", "&amp;'Post Coding'!$J$7&amp;","))),1,0)+IF(AND('Post Coding'!$C$8=$A11,ISNUMBER(SEARCH(", "&amp;$B11&amp;",",", "&amp;'Post Coding'!$J$8&amp;","))),1,0)+IF(AND('Post Coding'!$C$9=$A11,ISNUMBER(SEARCH(", "&amp;$B11&amp;",",", "&amp;'Post Coding'!$J$9&amp;","))),1,0)+IF(AND('Post Coding'!$C$10=$A11,ISNUMBER(SEARCH(", "&amp;$B11&amp;",",", "&amp;'Post Coding'!$J$10&amp;","))),1,0)+IF(AND('Post Coding'!$C$11=$A11,ISNUMBER(SEARCH(", "&amp;$B11&amp;",",", "&amp;'Post Coding'!$J$11&amp;","))),1,0)+IF(AND('Post Coding'!$C$12=$A11,ISNUMBER(SEARCH(", "&amp;$B11&amp;",",", "&amp;'Post Coding'!$J$12&amp;","))),1,0)+IF(AND('Post Coding'!$C$13=$A11,ISNUMBER(SEARCH(", "&amp;$B11&amp;",",", "&amp;'Post Coding'!$J$13&amp;","))),1,0)+IF(AND('Post Coding'!$C$14=$A11,ISNUMBER(SEARCH(", "&amp;$B11&amp;",",", "&amp;'Post Coding'!$J$14&amp;","))),1,0)+IF(AND('Post Coding'!$C$15=$A11,ISNUMBER(SEARCH(", "&amp;$B11&amp;",",", "&amp;'Post Coding'!$J$15&amp;","))),1,0)+IF(AND('Post Coding'!$C$16=$A11,ISNUMBER(SEARCH(", "&amp;$B11&amp;",",", "&amp;'Post Coding'!$J$16&amp;","))),1,0)+IF(AND('Post Coding'!$C$17=$A11,ISNUMBER(SEARCH(", "&amp;$B11&amp;",",", "&amp;'Post Coding'!$J$17&amp;","))),1,0)+IF(AND('Post Coding'!$C$18=$A11,ISNUMBER(SEARCH(", "&amp;$B11&amp;",",", "&amp;'Post Coding'!$J$18&amp;","))),1,0)+IF(AND('Post Coding'!$C$19=$A11,ISNUMBER(SEARCH(", "&amp;$B11&amp;",",", "&amp;'Post Coding'!$J$19&amp;","))),1,0)+IF(AND('Post Coding'!$C$20=$A11,ISNUMBER(SEARCH(", "&amp;$B11&amp;",",", "&amp;'Post Coding'!$J$20&amp;","))),1,0)+IF(AND('Post Coding'!$C$21=$A11,ISNUMBER(SEARCH(", "&amp;$B11&amp;",",", "&amp;'Post Coding'!$J$21&amp;","))),1,0)+IF(AND('Post Coding'!$C$22=$A11,ISNUMBER(SEARCH(", "&amp;$B11&amp;",",", "&amp;'Post Coding'!$J$22&amp;","))),1,0)+IF(AND('Post Coding'!$C$23=$A11,ISNUMBER(SEARCH(", "&amp;$B11&amp;",",", "&amp;'Post Coding'!$J$23&amp;","))),1,0)+IF(AND('Post Coding'!$C$24=$A11,ISNUMBER(SEARCH(", "&amp;$B11&amp;",",", "&amp;'Post Coding'!$J$24&amp;","))),1,0)+IF(AND('Post Coding'!$C$25=$A11,ISNUMBER(SEARCH(", "&amp;$B11&amp;",",", "&amp;'Post Coding'!$J$25&amp;","))),1,0)+IF(AND('Post Coding'!$C$26=$A11,ISNUMBER(SEARCH(", "&amp;$B11&amp;",",", "&amp;'Post Coding'!$J$26&amp;","))),1,0)</x:f>
        <x:v>4</x:v>
      </x:c>
      <x:c r="D11" s="160" t="n">
        <x:f>COUNTIF('Post Coding'!$C$5:$C$26,A11)</x:f>
        <x:v>9</x:v>
      </x:c>
      <x:c r="E11" s="161" t="n">
        <x:f>IF(D11=0,0,C11/D11)</x:f>
        <x:v>0.4444444444444444</x:v>
      </x:c>
    </x:row>
    <x:row r="12" ht="25" customHeight="1">
      <x:c r="A12" s="116" t="str">
        <x:v>Front-End &amp; Web Interface Development</x:v>
      </x:c>
      <x:c r="B12" s="116" t="str">
        <x:v>JavaScript</x:v>
      </x:c>
      <x:c r="C12" s="160" t="n">
        <x:f>IF(AND('Post Coding'!$C$5=$A12,ISNUMBER(SEARCH(", "&amp;$B12&amp;",",", "&amp;'Post Coding'!$H$5&amp;","))),1,0)+IF(AND('Post Coding'!$C$6=$A12,ISNUMBER(SEARCH(", "&amp;$B12&amp;",",", "&amp;'Post Coding'!$H$6&amp;","))),1,0)+IF(AND('Post Coding'!$C$7=$A12,ISNUMBER(SEARCH(", "&amp;$B12&amp;",",", "&amp;'Post Coding'!$H$7&amp;","))),1,0)+IF(AND('Post Coding'!$C$8=$A12,ISNUMBER(SEARCH(", "&amp;$B12&amp;",",", "&amp;'Post Coding'!$H$8&amp;","))),1,0)+IF(AND('Post Coding'!$C$9=$A12,ISNUMBER(SEARCH(", "&amp;$B12&amp;",",", "&amp;'Post Coding'!$H$9&amp;","))),1,0)+IF(AND('Post Coding'!$C$10=$A12,ISNUMBER(SEARCH(", "&amp;$B12&amp;",",", "&amp;'Post Coding'!$H$10&amp;","))),1,0)+IF(AND('Post Coding'!$C$11=$A12,ISNUMBER(SEARCH(", "&amp;$B12&amp;",",", "&amp;'Post Coding'!$H$11&amp;","))),1,0)+IF(AND('Post Coding'!$C$12=$A12,ISNUMBER(SEARCH(", "&amp;$B12&amp;",",", "&amp;'Post Coding'!$H$12&amp;","))),1,0)+IF(AND('Post Coding'!$C$13=$A12,ISNUMBER(SEARCH(", "&amp;$B12&amp;",",", "&amp;'Post Coding'!$H$13&amp;","))),1,0)+IF(AND('Post Coding'!$C$14=$A12,ISNUMBER(SEARCH(", "&amp;$B12&amp;",",", "&amp;'Post Coding'!$H$14&amp;","))),1,0)+IF(AND('Post Coding'!$C$15=$A12,ISNUMBER(SEARCH(", "&amp;$B12&amp;",",", "&amp;'Post Coding'!$H$15&amp;","))),1,0)+IF(AND('Post Coding'!$C$16=$A12,ISNUMBER(SEARCH(", "&amp;$B12&amp;",",", "&amp;'Post Coding'!$H$16&amp;","))),1,0)+IF(AND('Post Coding'!$C$17=$A12,ISNUMBER(SEARCH(", "&amp;$B12&amp;",",", "&amp;'Post Coding'!$H$17&amp;","))),1,0)+IF(AND('Post Coding'!$C$18=$A12,ISNUMBER(SEARCH(", "&amp;$B12&amp;",",", "&amp;'Post Coding'!$H$18&amp;","))),1,0)+IF(AND('Post Coding'!$C$19=$A12,ISNUMBER(SEARCH(", "&amp;$B12&amp;",",", "&amp;'Post Coding'!$H$19&amp;","))),1,0)+IF(AND('Post Coding'!$C$20=$A12,ISNUMBER(SEARCH(", "&amp;$B12&amp;",",", "&amp;'Post Coding'!$H$20&amp;","))),1,0)+IF(AND('Post Coding'!$C$21=$A12,ISNUMBER(SEARCH(", "&amp;$B12&amp;",",", "&amp;'Post Coding'!$H$21&amp;","))),1,0)+IF(AND('Post Coding'!$C$22=$A12,ISNUMBER(SEARCH(", "&amp;$B12&amp;",",", "&amp;'Post Coding'!$H$22&amp;","))),1,0)+IF(AND('Post Coding'!$C$23=$A12,ISNUMBER(SEARCH(", "&amp;$B12&amp;",",", "&amp;'Post Coding'!$H$23&amp;","))),1,0)+IF(AND('Post Coding'!$C$24=$A12,ISNUMBER(SEARCH(", "&amp;$B12&amp;",",", "&amp;'Post Coding'!$H$24&amp;","))),1,0)+IF(AND('Post Coding'!$C$25=$A12,ISNUMBER(SEARCH(", "&amp;$B12&amp;",",", "&amp;'Post Coding'!$H$25&amp;","))),1,0)+IF(AND('Post Coding'!$C$26=$A12,ISNUMBER(SEARCH(", "&amp;$B12&amp;",",", "&amp;'Post Coding'!$H$26&amp;","))),1,0)</x:f>
        <x:v>3</x:v>
      </x:c>
      <x:c r="D12" s="160" t="n">
        <x:f>COUNTIF('Post Coding'!$C$5:$C$26,A12)</x:f>
        <x:v>3</x:v>
      </x:c>
      <x:c r="E12" s="161" t="n">
        <x:f>IF(D12=0,0,C12/D12)</x:f>
        <x:v>1</x:v>
      </x:c>
    </x:row>
    <x:row r="13" ht="25" customHeight="1">
      <x:c r="A13" s="116" t="str">
        <x:v>Front-End &amp; Web Interface Development</x:v>
      </x:c>
      <x:c r="B13" s="116" t="str">
        <x:v>HTML/CSS</x:v>
      </x:c>
      <x:c r="C13" s="160" t="n">
        <x:f>IF(AND('Post Coding'!$C$5=$A13,ISNUMBER(SEARCH(", "&amp;$B13&amp;",",", "&amp;'Post Coding'!$H$5&amp;","))),1,0)+IF(AND('Post Coding'!$C$6=$A13,ISNUMBER(SEARCH(", "&amp;$B13&amp;",",", "&amp;'Post Coding'!$H$6&amp;","))),1,0)+IF(AND('Post Coding'!$C$7=$A13,ISNUMBER(SEARCH(", "&amp;$B13&amp;",",", "&amp;'Post Coding'!$H$7&amp;","))),1,0)+IF(AND('Post Coding'!$C$8=$A13,ISNUMBER(SEARCH(", "&amp;$B13&amp;",",", "&amp;'Post Coding'!$H$8&amp;","))),1,0)+IF(AND('Post Coding'!$C$9=$A13,ISNUMBER(SEARCH(", "&amp;$B13&amp;",",", "&amp;'Post Coding'!$H$9&amp;","))),1,0)+IF(AND('Post Coding'!$C$10=$A13,ISNUMBER(SEARCH(", "&amp;$B13&amp;",",", "&amp;'Post Coding'!$H$10&amp;","))),1,0)+IF(AND('Post Coding'!$C$11=$A13,ISNUMBER(SEARCH(", "&amp;$B13&amp;",",", "&amp;'Post Coding'!$H$11&amp;","))),1,0)+IF(AND('Post Coding'!$C$12=$A13,ISNUMBER(SEARCH(", "&amp;$B13&amp;",",", "&amp;'Post Coding'!$H$12&amp;","))),1,0)+IF(AND('Post Coding'!$C$13=$A13,ISNUMBER(SEARCH(", "&amp;$B13&amp;",",", "&amp;'Post Coding'!$H$13&amp;","))),1,0)+IF(AND('Post Coding'!$C$14=$A13,ISNUMBER(SEARCH(", "&amp;$B13&amp;",",", "&amp;'Post Coding'!$H$14&amp;","))),1,0)+IF(AND('Post Coding'!$C$15=$A13,ISNUMBER(SEARCH(", "&amp;$B13&amp;",",", "&amp;'Post Coding'!$H$15&amp;","))),1,0)+IF(AND('Post Coding'!$C$16=$A13,ISNUMBER(SEARCH(", "&amp;$B13&amp;",",", "&amp;'Post Coding'!$H$16&amp;","))),1,0)+IF(AND('Post Coding'!$C$17=$A13,ISNUMBER(SEARCH(", "&amp;$B13&amp;",",", "&amp;'Post Coding'!$H$17&amp;","))),1,0)+IF(AND('Post Coding'!$C$18=$A13,ISNUMBER(SEARCH(", "&amp;$B13&amp;",",", "&amp;'Post Coding'!$H$18&amp;","))),1,0)+IF(AND('Post Coding'!$C$19=$A13,ISNUMBER(SEARCH(", "&amp;$B13&amp;",",", "&amp;'Post Coding'!$H$19&amp;","))),1,0)+IF(AND('Post Coding'!$C$20=$A13,ISNUMBER(SEARCH(", "&amp;$B13&amp;",",", "&amp;'Post Coding'!$H$20&amp;","))),1,0)+IF(AND('Post Coding'!$C$21=$A13,ISNUMBER(SEARCH(", "&amp;$B13&amp;",",", "&amp;'Post Coding'!$H$21&amp;","))),1,0)+IF(AND('Post Coding'!$C$22=$A13,ISNUMBER(SEARCH(", "&amp;$B13&amp;",",", "&amp;'Post Coding'!$H$22&amp;","))),1,0)+IF(AND('Post Coding'!$C$23=$A13,ISNUMBER(SEARCH(", "&amp;$B13&amp;",",", "&amp;'Post Coding'!$H$23&amp;","))),1,0)+IF(AND('Post Coding'!$C$24=$A13,ISNUMBER(SEARCH(", "&amp;$B13&amp;",",", "&amp;'Post Coding'!$H$24&amp;","))),1,0)+IF(AND('Post Coding'!$C$25=$A13,ISNUMBER(SEARCH(", "&amp;$B13&amp;",",", "&amp;'Post Coding'!$H$25&amp;","))),1,0)+IF(AND('Post Coding'!$C$26=$A13,ISNUMBER(SEARCH(", "&amp;$B13&amp;",",", "&amp;'Post Coding'!$H$26&amp;","))),1,0)</x:f>
        <x:v>2</x:v>
      </x:c>
      <x:c r="D13" s="160" t="n">
        <x:f>COUNTIF('Post Coding'!$C$5:$C$26,A13)</x:f>
        <x:v>3</x:v>
      </x:c>
      <x:c r="E13" s="161" t="n">
        <x:f>IF(D13=0,0,C13/D13)</x:f>
        <x:v>0.6666666666666666</x:v>
      </x:c>
    </x:row>
    <x:row r="14" ht="25" customHeight="1">
      <x:c r="A14" s="116" t="str">
        <x:v>Front-End &amp; Web Interface Development</x:v>
      </x:c>
      <x:c r="B14" s="116" t="str">
        <x:v>React</x:v>
      </x:c>
      <x:c r="C14" s="160" t="n">
        <x:f>IF(AND('Post Coding'!$C$5=$A14,ISNUMBER(SEARCH(", "&amp;$B14&amp;",",", "&amp;'Post Coding'!$I$5&amp;","))),1,0)+IF(AND('Post Coding'!$C$6=$A14,ISNUMBER(SEARCH(", "&amp;$B14&amp;",",", "&amp;'Post Coding'!$I$6&amp;","))),1,0)+IF(AND('Post Coding'!$C$7=$A14,ISNUMBER(SEARCH(", "&amp;$B14&amp;",",", "&amp;'Post Coding'!$I$7&amp;","))),1,0)+IF(AND('Post Coding'!$C$8=$A14,ISNUMBER(SEARCH(", "&amp;$B14&amp;",",", "&amp;'Post Coding'!$I$8&amp;","))),1,0)+IF(AND('Post Coding'!$C$9=$A14,ISNUMBER(SEARCH(", "&amp;$B14&amp;",",", "&amp;'Post Coding'!$I$9&amp;","))),1,0)+IF(AND('Post Coding'!$C$10=$A14,ISNUMBER(SEARCH(", "&amp;$B14&amp;",",", "&amp;'Post Coding'!$I$10&amp;","))),1,0)+IF(AND('Post Coding'!$C$11=$A14,ISNUMBER(SEARCH(", "&amp;$B14&amp;",",", "&amp;'Post Coding'!$I$11&amp;","))),1,0)+IF(AND('Post Coding'!$C$12=$A14,ISNUMBER(SEARCH(", "&amp;$B14&amp;",",", "&amp;'Post Coding'!$I$12&amp;","))),1,0)+IF(AND('Post Coding'!$C$13=$A14,ISNUMBER(SEARCH(", "&amp;$B14&amp;",",", "&amp;'Post Coding'!$I$13&amp;","))),1,0)+IF(AND('Post Coding'!$C$14=$A14,ISNUMBER(SEARCH(", "&amp;$B14&amp;",",", "&amp;'Post Coding'!$I$14&amp;","))),1,0)+IF(AND('Post Coding'!$C$15=$A14,ISNUMBER(SEARCH(", "&amp;$B14&amp;",",", "&amp;'Post Coding'!$I$15&amp;","))),1,0)+IF(AND('Post Coding'!$C$16=$A14,ISNUMBER(SEARCH(", "&amp;$B14&amp;",",", "&amp;'Post Coding'!$I$16&amp;","))),1,0)+IF(AND('Post Coding'!$C$17=$A14,ISNUMBER(SEARCH(", "&amp;$B14&amp;",",", "&amp;'Post Coding'!$I$17&amp;","))),1,0)+IF(AND('Post Coding'!$C$18=$A14,ISNUMBER(SEARCH(", "&amp;$B14&amp;",",", "&amp;'Post Coding'!$I$18&amp;","))),1,0)+IF(AND('Post Coding'!$C$19=$A14,ISNUMBER(SEARCH(", "&amp;$B14&amp;",",", "&amp;'Post Coding'!$I$19&amp;","))),1,0)+IF(AND('Post Coding'!$C$20=$A14,ISNUMBER(SEARCH(", "&amp;$B14&amp;",",", "&amp;'Post Coding'!$I$20&amp;","))),1,0)+IF(AND('Post Coding'!$C$21=$A14,ISNUMBER(SEARCH(", "&amp;$B14&amp;",",", "&amp;'Post Coding'!$I$21&amp;","))),1,0)+IF(AND('Post Coding'!$C$22=$A14,ISNUMBER(SEARCH(", "&amp;$B14&amp;",",", "&amp;'Post Coding'!$I$22&amp;","))),1,0)+IF(AND('Post Coding'!$C$23=$A14,ISNUMBER(SEARCH(", "&amp;$B14&amp;",",", "&amp;'Post Coding'!$I$23&amp;","))),1,0)+IF(AND('Post Coding'!$C$24=$A14,ISNUMBER(SEARCH(", "&amp;$B14&amp;",",", "&amp;'Post Coding'!$I$24&amp;","))),1,0)+IF(AND('Post Coding'!$C$25=$A14,ISNUMBER(SEARCH(", "&amp;$B14&amp;",",", "&amp;'Post Coding'!$I$25&amp;","))),1,0)+IF(AND('Post Coding'!$C$26=$A14,ISNUMBER(SEARCH(", "&amp;$B14&amp;",",", "&amp;'Post Coding'!$I$26&amp;","))),1,0)</x:f>
        <x:v>2</x:v>
      </x:c>
      <x:c r="D14" s="160" t="n">
        <x:f>COUNTIF('Post Coding'!$C$5:$C$26,A14)</x:f>
        <x:v>3</x:v>
      </x:c>
      <x:c r="E14" s="161" t="n">
        <x:f>IF(D14=0,0,C14/D14)</x:f>
        <x:v>0.6666666666666666</x:v>
      </x:c>
    </x:row>
    <x:row r="15" ht="25" customHeight="1">
      <x:c r="A15" s="116" t="str">
        <x:v>Front-End &amp; Web Interface Development</x:v>
      </x:c>
      <x:c r="B15" s="116" t="str">
        <x:v>TypeScript</x:v>
      </x:c>
      <x:c r="C15" s="160" t="n">
        <x:f>IF(AND('Post Coding'!$C$5=$A15,ISNUMBER(SEARCH(", "&amp;$B15&amp;",",", "&amp;'Post Coding'!$H$5&amp;","))),1,0)+IF(AND('Post Coding'!$C$6=$A15,ISNUMBER(SEARCH(", "&amp;$B15&amp;",",", "&amp;'Post Coding'!$H$6&amp;","))),1,0)+IF(AND('Post Coding'!$C$7=$A15,ISNUMBER(SEARCH(", "&amp;$B15&amp;",",", "&amp;'Post Coding'!$H$7&amp;","))),1,0)+IF(AND('Post Coding'!$C$8=$A15,ISNUMBER(SEARCH(", "&amp;$B15&amp;",",", "&amp;'Post Coding'!$H$8&amp;","))),1,0)+IF(AND('Post Coding'!$C$9=$A15,ISNUMBER(SEARCH(", "&amp;$B15&amp;",",", "&amp;'Post Coding'!$H$9&amp;","))),1,0)+IF(AND('Post Coding'!$C$10=$A15,ISNUMBER(SEARCH(", "&amp;$B15&amp;",",", "&amp;'Post Coding'!$H$10&amp;","))),1,0)+IF(AND('Post Coding'!$C$11=$A15,ISNUMBER(SEARCH(", "&amp;$B15&amp;",",", "&amp;'Post Coding'!$H$11&amp;","))),1,0)+IF(AND('Post Coding'!$C$12=$A15,ISNUMBER(SEARCH(", "&amp;$B15&amp;",",", "&amp;'Post Coding'!$H$12&amp;","))),1,0)+IF(AND('Post Coding'!$C$13=$A15,ISNUMBER(SEARCH(", "&amp;$B15&amp;",",", "&amp;'Post Coding'!$H$13&amp;","))),1,0)+IF(AND('Post Coding'!$C$14=$A15,ISNUMBER(SEARCH(", "&amp;$B15&amp;",",", "&amp;'Post Coding'!$H$14&amp;","))),1,0)+IF(AND('Post Coding'!$C$15=$A15,ISNUMBER(SEARCH(", "&amp;$B15&amp;",",", "&amp;'Post Coding'!$H$15&amp;","))),1,0)+IF(AND('Post Coding'!$C$16=$A15,ISNUMBER(SEARCH(", "&amp;$B15&amp;",",", "&amp;'Post Coding'!$H$16&amp;","))),1,0)+IF(AND('Post Coding'!$C$17=$A15,ISNUMBER(SEARCH(", "&amp;$B15&amp;",",", "&amp;'Post Coding'!$H$17&amp;","))),1,0)+IF(AND('Post Coding'!$C$18=$A15,ISNUMBER(SEARCH(", "&amp;$B15&amp;",",", "&amp;'Post Coding'!$H$18&amp;","))),1,0)+IF(AND('Post Coding'!$C$19=$A15,ISNUMBER(SEARCH(", "&amp;$B15&amp;",",", "&amp;'Post Coding'!$H$19&amp;","))),1,0)+IF(AND('Post Coding'!$C$20=$A15,ISNUMBER(SEARCH(", "&amp;$B15&amp;",",", "&amp;'Post Coding'!$H$20&amp;","))),1,0)+IF(AND('Post Coding'!$C$21=$A15,ISNUMBER(SEARCH(", "&amp;$B15&amp;",",", "&amp;'Post Coding'!$H$21&amp;","))),1,0)+IF(AND('Post Coding'!$C$22=$A15,ISNUMBER(SEARCH(", "&amp;$B15&amp;",",", "&amp;'Post Coding'!$H$22&amp;","))),1,0)+IF(AND('Post Coding'!$C$23=$A15,ISNUMBER(SEARCH(", "&amp;$B15&amp;",",", "&amp;'Post Coding'!$H$23&amp;","))),1,0)+IF(AND('Post Coding'!$C$24=$A15,ISNUMBER(SEARCH(", "&amp;$B15&amp;",",", "&amp;'Post Coding'!$H$24&amp;","))),1,0)+IF(AND('Post Coding'!$C$25=$A15,ISNUMBER(SEARCH(", "&amp;$B15&amp;",",", "&amp;'Post Coding'!$H$25&amp;","))),1,0)+IF(AND('Post Coding'!$C$26=$A15,ISNUMBER(SEARCH(", "&amp;$B15&amp;",",", "&amp;'Post Coding'!$H$26&amp;","))),1,0)</x:f>
        <x:v>1</x:v>
      </x:c>
      <x:c r="D15" s="160" t="n">
        <x:f>COUNTIF('Post Coding'!$C$5:$C$26,A15)</x:f>
        <x:v>3</x:v>
      </x:c>
      <x:c r="E15" s="161" t="n">
        <x:f>IF(D15=0,0,C15/D15)</x:f>
        <x:v>0.3333333333333333</x:v>
      </x:c>
    </x:row>
    <x:row r="16" ht="25" customHeight="1">
      <x:c r="A16" s="116" t="str">
        <x:v>Front-End &amp; Web Interface Development</x:v>
      </x:c>
      <x:c r="B16" s="116" t="str">
        <x:v>Angular</x:v>
      </x:c>
      <x:c r="C16" s="160" t="n">
        <x:f>IF(AND('Post Coding'!$C$5=$A16,ISNUMBER(SEARCH(", "&amp;$B16&amp;",",", "&amp;'Post Coding'!$I$5&amp;","))),1,0)+IF(AND('Post Coding'!$C$6=$A16,ISNUMBER(SEARCH(", "&amp;$B16&amp;",",", "&amp;'Post Coding'!$I$6&amp;","))),1,0)+IF(AND('Post Coding'!$C$7=$A16,ISNUMBER(SEARCH(", "&amp;$B16&amp;",",", "&amp;'Post Coding'!$I$7&amp;","))),1,0)+IF(AND('Post Coding'!$C$8=$A16,ISNUMBER(SEARCH(", "&amp;$B16&amp;",",", "&amp;'Post Coding'!$I$8&amp;","))),1,0)+IF(AND('Post Coding'!$C$9=$A16,ISNUMBER(SEARCH(", "&amp;$B16&amp;",",", "&amp;'Post Coding'!$I$9&amp;","))),1,0)+IF(AND('Post Coding'!$C$10=$A16,ISNUMBER(SEARCH(", "&amp;$B16&amp;",",", "&amp;'Post Coding'!$I$10&amp;","))),1,0)+IF(AND('Post Coding'!$C$11=$A16,ISNUMBER(SEARCH(", "&amp;$B16&amp;",",", "&amp;'Post Coding'!$I$11&amp;","))),1,0)+IF(AND('Post Coding'!$C$12=$A16,ISNUMBER(SEARCH(", "&amp;$B16&amp;",",", "&amp;'Post Coding'!$I$12&amp;","))),1,0)+IF(AND('Post Coding'!$C$13=$A16,ISNUMBER(SEARCH(", "&amp;$B16&amp;",",", "&amp;'Post Coding'!$I$13&amp;","))),1,0)+IF(AND('Post Coding'!$C$14=$A16,ISNUMBER(SEARCH(", "&amp;$B16&amp;",",", "&amp;'Post Coding'!$I$14&amp;","))),1,0)+IF(AND('Post Coding'!$C$15=$A16,ISNUMBER(SEARCH(", "&amp;$B16&amp;",",", "&amp;'Post Coding'!$I$15&amp;","))),1,0)+IF(AND('Post Coding'!$C$16=$A16,ISNUMBER(SEARCH(", "&amp;$B16&amp;",",", "&amp;'Post Coding'!$I$16&amp;","))),1,0)+IF(AND('Post Coding'!$C$17=$A16,ISNUMBER(SEARCH(", "&amp;$B16&amp;",",", "&amp;'Post Coding'!$I$17&amp;","))),1,0)+IF(AND('Post Coding'!$C$18=$A16,ISNUMBER(SEARCH(", "&amp;$B16&amp;",",", "&amp;'Post Coding'!$I$18&amp;","))),1,0)+IF(AND('Post Coding'!$C$19=$A16,ISNUMBER(SEARCH(", "&amp;$B16&amp;",",", "&amp;'Post Coding'!$I$19&amp;","))),1,0)+IF(AND('Post Coding'!$C$20=$A16,ISNUMBER(SEARCH(", "&amp;$B16&amp;",",", "&amp;'Post Coding'!$I$20&amp;","))),1,0)+IF(AND('Post Coding'!$C$21=$A16,ISNUMBER(SEARCH(", "&amp;$B16&amp;",",", "&amp;'Post Coding'!$I$21&amp;","))),1,0)+IF(AND('Post Coding'!$C$22=$A16,ISNUMBER(SEARCH(", "&amp;$B16&amp;",",", "&amp;'Post Coding'!$I$22&amp;","))),1,0)+IF(AND('Post Coding'!$C$23=$A16,ISNUMBER(SEARCH(", "&amp;$B16&amp;",",", "&amp;'Post Coding'!$I$23&amp;","))),1,0)+IF(AND('Post Coding'!$C$24=$A16,ISNUMBER(SEARCH(", "&amp;$B16&amp;",",", "&amp;'Post Coding'!$I$24&amp;","))),1,0)+IF(AND('Post Coding'!$C$25=$A16,ISNUMBER(SEARCH(", "&amp;$B16&amp;",",", "&amp;'Post Coding'!$I$25&amp;","))),1,0)+IF(AND('Post Coding'!$C$26=$A16,ISNUMBER(SEARCH(", "&amp;$B16&amp;",",", "&amp;'Post Coding'!$I$26&amp;","))),1,0)</x:f>
        <x:v>1</x:v>
      </x:c>
      <x:c r="D16" s="160" t="n">
        <x:f>COUNTIF('Post Coding'!$C$5:$C$26,A16)</x:f>
        <x:v>3</x:v>
      </x:c>
      <x:c r="E16" s="161" t="n">
        <x:f>IF(D16=0,0,C16/D16)</x:f>
        <x:v>0.3333333333333333</x:v>
      </x:c>
    </x:row>
    <x:row r="17" ht="25" customHeight="1">
      <x:c r="A17" s="116" t="str">
        <x:v>Front-End &amp; Web Interface Development</x:v>
      </x:c>
      <x:c r="B17" s="116" t="str">
        <x:v>Vue</x:v>
      </x:c>
      <x:c r="C17" s="160" t="n">
        <x:f>IF(AND('Post Coding'!$C$5=$A17,ISNUMBER(SEARCH(", "&amp;$B17&amp;",",", "&amp;'Post Coding'!$I$5&amp;","))),1,0)+IF(AND('Post Coding'!$C$6=$A17,ISNUMBER(SEARCH(", "&amp;$B17&amp;",",", "&amp;'Post Coding'!$I$6&amp;","))),1,0)+IF(AND('Post Coding'!$C$7=$A17,ISNUMBER(SEARCH(", "&amp;$B17&amp;",",", "&amp;'Post Coding'!$I$7&amp;","))),1,0)+IF(AND('Post Coding'!$C$8=$A17,ISNUMBER(SEARCH(", "&amp;$B17&amp;",",", "&amp;'Post Coding'!$I$8&amp;","))),1,0)+IF(AND('Post Coding'!$C$9=$A17,ISNUMBER(SEARCH(", "&amp;$B17&amp;",",", "&amp;'Post Coding'!$I$9&amp;","))),1,0)+IF(AND('Post Coding'!$C$10=$A17,ISNUMBER(SEARCH(", "&amp;$B17&amp;",",", "&amp;'Post Coding'!$I$10&amp;","))),1,0)+IF(AND('Post Coding'!$C$11=$A17,ISNUMBER(SEARCH(", "&amp;$B17&amp;",",", "&amp;'Post Coding'!$I$11&amp;","))),1,0)+IF(AND('Post Coding'!$C$12=$A17,ISNUMBER(SEARCH(", "&amp;$B17&amp;",",", "&amp;'Post Coding'!$I$12&amp;","))),1,0)+IF(AND('Post Coding'!$C$13=$A17,ISNUMBER(SEARCH(", "&amp;$B17&amp;",",", "&amp;'Post Coding'!$I$13&amp;","))),1,0)+IF(AND('Post Coding'!$C$14=$A17,ISNUMBER(SEARCH(", "&amp;$B17&amp;",",", "&amp;'Post Coding'!$I$14&amp;","))),1,0)+IF(AND('Post Coding'!$C$15=$A17,ISNUMBER(SEARCH(", "&amp;$B17&amp;",",", "&amp;'Post Coding'!$I$15&amp;","))),1,0)+IF(AND('Post Coding'!$C$16=$A17,ISNUMBER(SEARCH(", "&amp;$B17&amp;",",", "&amp;'Post Coding'!$I$16&amp;","))),1,0)+IF(AND('Post Coding'!$C$17=$A17,ISNUMBER(SEARCH(", "&amp;$B17&amp;",",", "&amp;'Post Coding'!$I$17&amp;","))),1,0)+IF(AND('Post Coding'!$C$18=$A17,ISNUMBER(SEARCH(", "&amp;$B17&amp;",",", "&amp;'Post Coding'!$I$18&amp;","))),1,0)+IF(AND('Post Coding'!$C$19=$A17,ISNUMBER(SEARCH(", "&amp;$B17&amp;",",", "&amp;'Post Coding'!$I$19&amp;","))),1,0)+IF(AND('Post Coding'!$C$20=$A17,ISNUMBER(SEARCH(", "&amp;$B17&amp;",",", "&amp;'Post Coding'!$I$20&amp;","))),1,0)+IF(AND('Post Coding'!$C$21=$A17,ISNUMBER(SEARCH(", "&amp;$B17&amp;",",", "&amp;'Post Coding'!$I$21&amp;","))),1,0)+IF(AND('Post Coding'!$C$22=$A17,ISNUMBER(SEARCH(", "&amp;$B17&amp;",",", "&amp;'Post Coding'!$I$22&amp;","))),1,0)+IF(AND('Post Coding'!$C$23=$A17,ISNUMBER(SEARCH(", "&amp;$B17&amp;",",", "&amp;'Post Coding'!$I$23&amp;","))),1,0)+IF(AND('Post Coding'!$C$24=$A17,ISNUMBER(SEARCH(", "&amp;$B17&amp;",",", "&amp;'Post Coding'!$I$24&amp;","))),1,0)+IF(AND('Post Coding'!$C$25=$A17,ISNUMBER(SEARCH(", "&amp;$B17&amp;",",", "&amp;'Post Coding'!$I$25&amp;","))),1,0)+IF(AND('Post Coding'!$C$26=$A17,ISNUMBER(SEARCH(", "&amp;$B17&amp;",",", "&amp;'Post Coding'!$I$26&amp;","))),1,0)</x:f>
        <x:v>1</x:v>
      </x:c>
      <x:c r="D17" s="160" t="n">
        <x:f>COUNTIF('Post Coding'!$C$5:$C$26,A17)</x:f>
        <x:v>3</x:v>
      </x:c>
      <x:c r="E17" s="161" t="n">
        <x:f>IF(D17=0,0,C17/D17)</x:f>
        <x:v>0.3333333333333333</x:v>
      </x:c>
    </x:row>
    <x:row r="18" ht="25" customHeight="1">
      <x:c r="A18" s="116" t="str">
        <x:v>Back-End &amp; Systems Integration Development</x:v>
      </x:c>
      <x:c r="B18" s="116" t="str">
        <x:v>SQL</x:v>
      </x:c>
      <x:c r="C18" s="160" t="n">
        <x:f>IF(AND('Post Coding'!$C$5=$A18,ISNUMBER(SEARCH(", "&amp;$B18&amp;",",", "&amp;'Post Coding'!$H$5&amp;","))),1,0)+IF(AND('Post Coding'!$C$6=$A18,ISNUMBER(SEARCH(", "&amp;$B18&amp;",",", "&amp;'Post Coding'!$H$6&amp;","))),1,0)+IF(AND('Post Coding'!$C$7=$A18,ISNUMBER(SEARCH(", "&amp;$B18&amp;",",", "&amp;'Post Coding'!$H$7&amp;","))),1,0)+IF(AND('Post Coding'!$C$8=$A18,ISNUMBER(SEARCH(", "&amp;$B18&amp;",",", "&amp;'Post Coding'!$H$8&amp;","))),1,0)+IF(AND('Post Coding'!$C$9=$A18,ISNUMBER(SEARCH(", "&amp;$B18&amp;",",", "&amp;'Post Coding'!$H$9&amp;","))),1,0)+IF(AND('Post Coding'!$C$10=$A18,ISNUMBER(SEARCH(", "&amp;$B18&amp;",",", "&amp;'Post Coding'!$H$10&amp;","))),1,0)+IF(AND('Post Coding'!$C$11=$A18,ISNUMBER(SEARCH(", "&amp;$B18&amp;",",", "&amp;'Post Coding'!$H$11&amp;","))),1,0)+IF(AND('Post Coding'!$C$12=$A18,ISNUMBER(SEARCH(", "&amp;$B18&amp;",",", "&amp;'Post Coding'!$H$12&amp;","))),1,0)+IF(AND('Post Coding'!$C$13=$A18,ISNUMBER(SEARCH(", "&amp;$B18&amp;",",", "&amp;'Post Coding'!$H$13&amp;","))),1,0)+IF(AND('Post Coding'!$C$14=$A18,ISNUMBER(SEARCH(", "&amp;$B18&amp;",",", "&amp;'Post Coding'!$H$14&amp;","))),1,0)+IF(AND('Post Coding'!$C$15=$A18,ISNUMBER(SEARCH(", "&amp;$B18&amp;",",", "&amp;'Post Coding'!$H$15&amp;","))),1,0)+IF(AND('Post Coding'!$C$16=$A18,ISNUMBER(SEARCH(", "&amp;$B18&amp;",",", "&amp;'Post Coding'!$H$16&amp;","))),1,0)+IF(AND('Post Coding'!$C$17=$A18,ISNUMBER(SEARCH(", "&amp;$B18&amp;",",", "&amp;'Post Coding'!$H$17&amp;","))),1,0)+IF(AND('Post Coding'!$C$18=$A18,ISNUMBER(SEARCH(", "&amp;$B18&amp;",",", "&amp;'Post Coding'!$H$18&amp;","))),1,0)+IF(AND('Post Coding'!$C$19=$A18,ISNUMBER(SEARCH(", "&amp;$B18&amp;",",", "&amp;'Post Coding'!$H$19&amp;","))),1,0)+IF(AND('Post Coding'!$C$20=$A18,ISNUMBER(SEARCH(", "&amp;$B18&amp;",",", "&amp;'Post Coding'!$H$20&amp;","))),1,0)+IF(AND('Post Coding'!$C$21=$A18,ISNUMBER(SEARCH(", "&amp;$B18&amp;",",", "&amp;'Post Coding'!$H$21&amp;","))),1,0)+IF(AND('Post Coding'!$C$22=$A18,ISNUMBER(SEARCH(", "&amp;$B18&amp;",",", "&amp;'Post Coding'!$H$22&amp;","))),1,0)+IF(AND('Post Coding'!$C$23=$A18,ISNUMBER(SEARCH(", "&amp;$B18&amp;",",", "&amp;'Post Coding'!$H$23&amp;","))),1,0)+IF(AND('Post Coding'!$C$24=$A18,ISNUMBER(SEARCH(", "&amp;$B18&amp;",",", "&amp;'Post Coding'!$H$24&amp;","))),1,0)+IF(AND('Post Coding'!$C$25=$A18,ISNUMBER(SEARCH(", "&amp;$B18&amp;",",", "&amp;'Post Coding'!$H$25&amp;","))),1,0)+IF(AND('Post Coding'!$C$26=$A18,ISNUMBER(SEARCH(", "&amp;$B18&amp;",",", "&amp;'Post Coding'!$H$26&amp;","))),1,0)</x:f>
        <x:v>3</x:v>
      </x:c>
      <x:c r="D18" s="160" t="n">
        <x:f>COUNTIF('Post Coding'!$C$5:$C$26,A18)</x:f>
        <x:v>3</x:v>
      </x:c>
      <x:c r="E18" s="161" t="n">
        <x:f>IF(D18=0,0,C18/D18)</x:f>
        <x:v>1</x:v>
      </x:c>
    </x:row>
    <x:row r="19" ht="25" customHeight="1">
      <x:c r="A19" s="116" t="str">
        <x:v>Back-End &amp; Systems Integration Development</x:v>
      </x:c>
      <x:c r="B19" s="116" t="str">
        <x:v>Git/GitHub</x:v>
      </x:c>
      <x:c r="C19" s="160" t="n">
        <x:f>IF(AND('Post Coding'!$C$5=$A19,ISNUMBER(SEARCH(", "&amp;$B19&amp;",",", "&amp;'Post Coding'!$J$5&amp;","))),1,0)+IF(AND('Post Coding'!$C$6=$A19,ISNUMBER(SEARCH(", "&amp;$B19&amp;",",", "&amp;'Post Coding'!$J$6&amp;","))),1,0)+IF(AND('Post Coding'!$C$7=$A19,ISNUMBER(SEARCH(", "&amp;$B19&amp;",",", "&amp;'Post Coding'!$J$7&amp;","))),1,0)+IF(AND('Post Coding'!$C$8=$A19,ISNUMBER(SEARCH(", "&amp;$B19&amp;",",", "&amp;'Post Coding'!$J$8&amp;","))),1,0)+IF(AND('Post Coding'!$C$9=$A19,ISNUMBER(SEARCH(", "&amp;$B19&amp;",",", "&amp;'Post Coding'!$J$9&amp;","))),1,0)+IF(AND('Post Coding'!$C$10=$A19,ISNUMBER(SEARCH(", "&amp;$B19&amp;",",", "&amp;'Post Coding'!$J$10&amp;","))),1,0)+IF(AND('Post Coding'!$C$11=$A19,ISNUMBER(SEARCH(", "&amp;$B19&amp;",",", "&amp;'Post Coding'!$J$11&amp;","))),1,0)+IF(AND('Post Coding'!$C$12=$A19,ISNUMBER(SEARCH(", "&amp;$B19&amp;",",", "&amp;'Post Coding'!$J$12&amp;","))),1,0)+IF(AND('Post Coding'!$C$13=$A19,ISNUMBER(SEARCH(", "&amp;$B19&amp;",",", "&amp;'Post Coding'!$J$13&amp;","))),1,0)+IF(AND('Post Coding'!$C$14=$A19,ISNUMBER(SEARCH(", "&amp;$B19&amp;",",", "&amp;'Post Coding'!$J$14&amp;","))),1,0)+IF(AND('Post Coding'!$C$15=$A19,ISNUMBER(SEARCH(", "&amp;$B19&amp;",",", "&amp;'Post Coding'!$J$15&amp;","))),1,0)+IF(AND('Post Coding'!$C$16=$A19,ISNUMBER(SEARCH(", "&amp;$B19&amp;",",", "&amp;'Post Coding'!$J$16&amp;","))),1,0)+IF(AND('Post Coding'!$C$17=$A19,ISNUMBER(SEARCH(", "&amp;$B19&amp;",",", "&amp;'Post Coding'!$J$17&amp;","))),1,0)+IF(AND('Post Coding'!$C$18=$A19,ISNUMBER(SEARCH(", "&amp;$B19&amp;",",", "&amp;'Post Coding'!$J$18&amp;","))),1,0)+IF(AND('Post Coding'!$C$19=$A19,ISNUMBER(SEARCH(", "&amp;$B19&amp;",",", "&amp;'Post Coding'!$J$19&amp;","))),1,0)+IF(AND('Post Coding'!$C$20=$A19,ISNUMBER(SEARCH(", "&amp;$B19&amp;",",", "&amp;'Post Coding'!$J$20&amp;","))),1,0)+IF(AND('Post Coding'!$C$21=$A19,ISNUMBER(SEARCH(", "&amp;$B19&amp;",",", "&amp;'Post Coding'!$J$21&amp;","))),1,0)+IF(AND('Post Coding'!$C$22=$A19,ISNUMBER(SEARCH(", "&amp;$B19&amp;",",", "&amp;'Post Coding'!$J$22&amp;","))),1,0)+IF(AND('Post Coding'!$C$23=$A19,ISNUMBER(SEARCH(", "&amp;$B19&amp;",",", "&amp;'Post Coding'!$J$23&amp;","))),1,0)+IF(AND('Post Coding'!$C$24=$A19,ISNUMBER(SEARCH(", "&amp;$B19&amp;",",", "&amp;'Post Coding'!$J$24&amp;","))),1,0)+IF(AND('Post Coding'!$C$25=$A19,ISNUMBER(SEARCH(", "&amp;$B19&amp;",",", "&amp;'Post Coding'!$J$25&amp;","))),1,0)+IF(AND('Post Coding'!$C$26=$A19,ISNUMBER(SEARCH(", "&amp;$B19&amp;",",", "&amp;'Post Coding'!$J$26&amp;","))),1,0)</x:f>
        <x:v>3</x:v>
      </x:c>
      <x:c r="D19" s="160" t="n">
        <x:f>COUNTIF('Post Coding'!$C$5:$C$26,A19)</x:f>
        <x:v>3</x:v>
      </x:c>
      <x:c r="E19" s="161" t="n">
        <x:f>IF(D19=0,0,C19/D19)</x:f>
        <x:v>1</x:v>
      </x:c>
    </x:row>
    <x:row r="20" ht="25" customHeight="1">
      <x:c r="A20" s="116" t="str">
        <x:v>Back-End &amp; Systems Integration Development</x:v>
      </x:c>
      <x:c r="B20" s="116" t="str">
        <x:v>Java</x:v>
      </x:c>
      <x:c r="C20" s="160" t="n">
        <x:f>IF(AND('Post Coding'!$C$5=$A20,ISNUMBER(SEARCH(", "&amp;$B20&amp;",",", "&amp;'Post Coding'!$H$5&amp;","))),1,0)+IF(AND('Post Coding'!$C$6=$A20,ISNUMBER(SEARCH(", "&amp;$B20&amp;",",", "&amp;'Post Coding'!$H$6&amp;","))),1,0)+IF(AND('Post Coding'!$C$7=$A20,ISNUMBER(SEARCH(", "&amp;$B20&amp;",",", "&amp;'Post Coding'!$H$7&amp;","))),1,0)+IF(AND('Post Coding'!$C$8=$A20,ISNUMBER(SEARCH(", "&amp;$B20&amp;",",", "&amp;'Post Coding'!$H$8&amp;","))),1,0)+IF(AND('Post Coding'!$C$9=$A20,ISNUMBER(SEARCH(", "&amp;$B20&amp;",",", "&amp;'Post Coding'!$H$9&amp;","))),1,0)+IF(AND('Post Coding'!$C$10=$A20,ISNUMBER(SEARCH(", "&amp;$B20&amp;",",", "&amp;'Post Coding'!$H$10&amp;","))),1,0)+IF(AND('Post Coding'!$C$11=$A20,ISNUMBER(SEARCH(", "&amp;$B20&amp;",",", "&amp;'Post Coding'!$H$11&amp;","))),1,0)+IF(AND('Post Coding'!$C$12=$A20,ISNUMBER(SEARCH(", "&amp;$B20&amp;",",", "&amp;'Post Coding'!$H$12&amp;","))),1,0)+IF(AND('Post Coding'!$C$13=$A20,ISNUMBER(SEARCH(", "&amp;$B20&amp;",",", "&amp;'Post Coding'!$H$13&amp;","))),1,0)+IF(AND('Post Coding'!$C$14=$A20,ISNUMBER(SEARCH(", "&amp;$B20&amp;",",", "&amp;'Post Coding'!$H$14&amp;","))),1,0)+IF(AND('Post Coding'!$C$15=$A20,ISNUMBER(SEARCH(", "&amp;$B20&amp;",",", "&amp;'Post Coding'!$H$15&amp;","))),1,0)+IF(AND('Post Coding'!$C$16=$A20,ISNUMBER(SEARCH(", "&amp;$B20&amp;",",", "&amp;'Post Coding'!$H$16&amp;","))),1,0)+IF(AND('Post Coding'!$C$17=$A20,ISNUMBER(SEARCH(", "&amp;$B20&amp;",",", "&amp;'Post Coding'!$H$17&amp;","))),1,0)+IF(AND('Post Coding'!$C$18=$A20,ISNUMBER(SEARCH(", "&amp;$B20&amp;",",", "&amp;'Post Coding'!$H$18&amp;","))),1,0)+IF(AND('Post Coding'!$C$19=$A20,ISNUMBER(SEARCH(", "&amp;$B20&amp;",",", "&amp;'Post Coding'!$H$19&amp;","))),1,0)+IF(AND('Post Coding'!$C$20=$A20,ISNUMBER(SEARCH(", "&amp;$B20&amp;",",", "&amp;'Post Coding'!$H$20&amp;","))),1,0)+IF(AND('Post Coding'!$C$21=$A20,ISNUMBER(SEARCH(", "&amp;$B20&amp;",",", "&amp;'Post Coding'!$H$21&amp;","))),1,0)+IF(AND('Post Coding'!$C$22=$A20,ISNUMBER(SEARCH(", "&amp;$B20&amp;",",", "&amp;'Post Coding'!$H$22&amp;","))),1,0)+IF(AND('Post Coding'!$C$23=$A20,ISNUMBER(SEARCH(", "&amp;$B20&amp;",",", "&amp;'Post Coding'!$H$23&amp;","))),1,0)+IF(AND('Post Coding'!$C$24=$A20,ISNUMBER(SEARCH(", "&amp;$B20&amp;",",", "&amp;'Post Coding'!$H$24&amp;","))),1,0)+IF(AND('Post Coding'!$C$25=$A20,ISNUMBER(SEARCH(", "&amp;$B20&amp;",",", "&amp;'Post Coding'!$H$25&amp;","))),1,0)+IF(AND('Post Coding'!$C$26=$A20,ISNUMBER(SEARCH(", "&amp;$B20&amp;",",", "&amp;'Post Coding'!$H$26&amp;","))),1,0)</x:f>
        <x:v>2</x:v>
      </x:c>
      <x:c r="D20" s="160" t="n">
        <x:f>COUNTIF('Post Coding'!$C$5:$C$26,A20)</x:f>
        <x:v>3</x:v>
      </x:c>
      <x:c r="E20" s="161" t="n">
        <x:f>IF(D20=0,0,C20/D20)</x:f>
        <x:v>0.6666666666666666</x:v>
      </x:c>
    </x:row>
    <x:row r="21" ht="25" customHeight="1">
      <x:c r="A21" s="116" t="str">
        <x:v>Back-End &amp; Systems Integration Development</x:v>
      </x:c>
      <x:c r="B21" s="116" t="str">
        <x:v>Linux</x:v>
      </x:c>
      <x:c r="C21" s="160" t="n">
        <x:f>IF(AND('Post Coding'!$C$5=$A21,ISNUMBER(SEARCH(", "&amp;$B21&amp;",",", "&amp;'Post Coding'!$J$5&amp;","))),1,0)+IF(AND('Post Coding'!$C$6=$A21,ISNUMBER(SEARCH(", "&amp;$B21&amp;",",", "&amp;'Post Coding'!$J$6&amp;","))),1,0)+IF(AND('Post Coding'!$C$7=$A21,ISNUMBER(SEARCH(", "&amp;$B21&amp;",",", "&amp;'Post Coding'!$J$7&amp;","))),1,0)+IF(AND('Post Coding'!$C$8=$A21,ISNUMBER(SEARCH(", "&amp;$B21&amp;",",", "&amp;'Post Coding'!$J$8&amp;","))),1,0)+IF(AND('Post Coding'!$C$9=$A21,ISNUMBER(SEARCH(", "&amp;$B21&amp;",",", "&amp;'Post Coding'!$J$9&amp;","))),1,0)+IF(AND('Post Coding'!$C$10=$A21,ISNUMBER(SEARCH(", "&amp;$B21&amp;",",", "&amp;'Post Coding'!$J$10&amp;","))),1,0)+IF(AND('Post Coding'!$C$11=$A21,ISNUMBER(SEARCH(", "&amp;$B21&amp;",",", "&amp;'Post Coding'!$J$11&amp;","))),1,0)+IF(AND('Post Coding'!$C$12=$A21,ISNUMBER(SEARCH(", "&amp;$B21&amp;",",", "&amp;'Post Coding'!$J$12&amp;","))),1,0)+IF(AND('Post Coding'!$C$13=$A21,ISNUMBER(SEARCH(", "&amp;$B21&amp;",",", "&amp;'Post Coding'!$J$13&amp;","))),1,0)+IF(AND('Post Coding'!$C$14=$A21,ISNUMBER(SEARCH(", "&amp;$B21&amp;",",", "&amp;'Post Coding'!$J$14&amp;","))),1,0)+IF(AND('Post Coding'!$C$15=$A21,ISNUMBER(SEARCH(", "&amp;$B21&amp;",",", "&amp;'Post Coding'!$J$15&amp;","))),1,0)+IF(AND('Post Coding'!$C$16=$A21,ISNUMBER(SEARCH(", "&amp;$B21&amp;",",", "&amp;'Post Coding'!$J$16&amp;","))),1,0)+IF(AND('Post Coding'!$C$17=$A21,ISNUMBER(SEARCH(", "&amp;$B21&amp;",",", "&amp;'Post Coding'!$J$17&amp;","))),1,0)+IF(AND('Post Coding'!$C$18=$A21,ISNUMBER(SEARCH(", "&amp;$B21&amp;",",", "&amp;'Post Coding'!$J$18&amp;","))),1,0)+IF(AND('Post Coding'!$C$19=$A21,ISNUMBER(SEARCH(", "&amp;$B21&amp;",",", "&amp;'Post Coding'!$J$19&amp;","))),1,0)+IF(AND('Post Coding'!$C$20=$A21,ISNUMBER(SEARCH(", "&amp;$B21&amp;",",", "&amp;'Post Coding'!$J$20&amp;","))),1,0)+IF(AND('Post Coding'!$C$21=$A21,ISNUMBER(SEARCH(", "&amp;$B21&amp;",",", "&amp;'Post Coding'!$J$21&amp;","))),1,0)+IF(AND('Post Coding'!$C$22=$A21,ISNUMBER(SEARCH(", "&amp;$B21&amp;",",", "&amp;'Post Coding'!$J$22&amp;","))),1,0)+IF(AND('Post Coding'!$C$23=$A21,ISNUMBER(SEARCH(", "&amp;$B21&amp;",",", "&amp;'Post Coding'!$J$23&amp;","))),1,0)+IF(AND('Post Coding'!$C$24=$A21,ISNUMBER(SEARCH(", "&amp;$B21&amp;",",", "&amp;'Post Coding'!$J$24&amp;","))),1,0)+IF(AND('Post Coding'!$C$25=$A21,ISNUMBER(SEARCH(", "&amp;$B21&amp;",",", "&amp;'Post Coding'!$J$25&amp;","))),1,0)+IF(AND('Post Coding'!$C$26=$A21,ISNUMBER(SEARCH(", "&amp;$B21&amp;",",", "&amp;'Post Coding'!$J$26&amp;","))),1,0)</x:f>
        <x:v>2</x:v>
      </x:c>
      <x:c r="D21" s="160" t="n">
        <x:f>COUNTIF('Post Coding'!$C$5:$C$26,A21)</x:f>
        <x:v>3</x:v>
      </x:c>
      <x:c r="E21" s="161" t="n">
        <x:f>IF(D21=0,0,C21/D21)</x:f>
        <x:v>0.6666666666666666</x:v>
      </x:c>
    </x:row>
    <x:row r="22" ht="25" customHeight="1">
      <x:c r="A22" s="116" t="str">
        <x:v>Back-End &amp; Systems Integration Development</x:v>
      </x:c>
      <x:c r="B22" s="116" t="str">
        <x:v>MySQL</x:v>
      </x:c>
      <x:c r="C22" s="160" t="n">
        <x:f>IF(AND('Post Coding'!$C$5=$A22,ISNUMBER(SEARCH(", "&amp;$B22&amp;",",", "&amp;'Post Coding'!$J$5&amp;","))),1,0)+IF(AND('Post Coding'!$C$6=$A22,ISNUMBER(SEARCH(", "&amp;$B22&amp;",",", "&amp;'Post Coding'!$J$6&amp;","))),1,0)+IF(AND('Post Coding'!$C$7=$A22,ISNUMBER(SEARCH(", "&amp;$B22&amp;",",", "&amp;'Post Coding'!$J$7&amp;","))),1,0)+IF(AND('Post Coding'!$C$8=$A22,ISNUMBER(SEARCH(", "&amp;$B22&amp;",",", "&amp;'Post Coding'!$J$8&amp;","))),1,0)+IF(AND('Post Coding'!$C$9=$A22,ISNUMBER(SEARCH(", "&amp;$B22&amp;",",", "&amp;'Post Coding'!$J$9&amp;","))),1,0)+IF(AND('Post Coding'!$C$10=$A22,ISNUMBER(SEARCH(", "&amp;$B22&amp;",",", "&amp;'Post Coding'!$J$10&amp;","))),1,0)+IF(AND('Post Coding'!$C$11=$A22,ISNUMBER(SEARCH(", "&amp;$B22&amp;",",", "&amp;'Post Coding'!$J$11&amp;","))),1,0)+IF(AND('Post Coding'!$C$12=$A22,ISNUMBER(SEARCH(", "&amp;$B22&amp;",",", "&amp;'Post Coding'!$J$12&amp;","))),1,0)+IF(AND('Post Coding'!$C$13=$A22,ISNUMBER(SEARCH(", "&amp;$B22&amp;",",", "&amp;'Post Coding'!$J$13&amp;","))),1,0)+IF(AND('Post Coding'!$C$14=$A22,ISNUMBER(SEARCH(", "&amp;$B22&amp;",",", "&amp;'Post Coding'!$J$14&amp;","))),1,0)+IF(AND('Post Coding'!$C$15=$A22,ISNUMBER(SEARCH(", "&amp;$B22&amp;",",", "&amp;'Post Coding'!$J$15&amp;","))),1,0)+IF(AND('Post Coding'!$C$16=$A22,ISNUMBER(SEARCH(", "&amp;$B22&amp;",",", "&amp;'Post Coding'!$J$16&amp;","))),1,0)+IF(AND('Post Coding'!$C$17=$A22,ISNUMBER(SEARCH(", "&amp;$B22&amp;",",", "&amp;'Post Coding'!$J$17&amp;","))),1,0)+IF(AND('Post Coding'!$C$18=$A22,ISNUMBER(SEARCH(", "&amp;$B22&amp;",",", "&amp;'Post Coding'!$J$18&amp;","))),1,0)+IF(AND('Post Coding'!$C$19=$A22,ISNUMBER(SEARCH(", "&amp;$B22&amp;",",", "&amp;'Post Coding'!$J$19&amp;","))),1,0)+IF(AND('Post Coding'!$C$20=$A22,ISNUMBER(SEARCH(", "&amp;$B22&amp;",",", "&amp;'Post Coding'!$J$20&amp;","))),1,0)+IF(AND('Post Coding'!$C$21=$A22,ISNUMBER(SEARCH(", "&amp;$B22&amp;",",", "&amp;'Post Coding'!$J$21&amp;","))),1,0)+IF(AND('Post Coding'!$C$22=$A22,ISNUMBER(SEARCH(", "&amp;$B22&amp;",",", "&amp;'Post Coding'!$J$22&amp;","))),1,0)+IF(AND('Post Coding'!$C$23=$A22,ISNUMBER(SEARCH(", "&amp;$B22&amp;",",", "&amp;'Post Coding'!$J$23&amp;","))),1,0)+IF(AND('Post Coding'!$C$24=$A22,ISNUMBER(SEARCH(", "&amp;$B22&amp;",",", "&amp;'Post Coding'!$J$24&amp;","))),1,0)+IF(AND('Post Coding'!$C$25=$A22,ISNUMBER(SEARCH(", "&amp;$B22&amp;",",", "&amp;'Post Coding'!$J$25&amp;","))),1,0)+IF(AND('Post Coding'!$C$26=$A22,ISNUMBER(SEARCH(", "&amp;$B22&amp;",",", "&amp;'Post Coding'!$J$26&amp;","))),1,0)</x:f>
        <x:v>2</x:v>
      </x:c>
      <x:c r="D22" s="160" t="n">
        <x:f>COUNTIF('Post Coding'!$C$5:$C$26,A22)</x:f>
        <x:v>3</x:v>
      </x:c>
      <x:c r="E22" s="161" t="n">
        <x:f>IF(D22=0,0,C22/D22)</x:f>
        <x:v>0.6666666666666666</x:v>
      </x:c>
    </x:row>
    <x:row r="23" ht="25" customHeight="1">
      <x:c r="A23" s="116" t="str">
        <x:v>Back-End &amp; Systems Integration Development</x:v>
      </x:c>
      <x:c r="B23" s="116" t="str">
        <x:v>Spring</x:v>
      </x:c>
      <x:c r="C23" s="160" t="n">
        <x:f>IF(AND('Post Coding'!$C$5=$A23,ISNUMBER(SEARCH(", "&amp;$B23&amp;",",", "&amp;'Post Coding'!$I$5&amp;","))),1,0)+IF(AND('Post Coding'!$C$6=$A23,ISNUMBER(SEARCH(", "&amp;$B23&amp;",",", "&amp;'Post Coding'!$I$6&amp;","))),1,0)+IF(AND('Post Coding'!$C$7=$A23,ISNUMBER(SEARCH(", "&amp;$B23&amp;",",", "&amp;'Post Coding'!$I$7&amp;","))),1,0)+IF(AND('Post Coding'!$C$8=$A23,ISNUMBER(SEARCH(", "&amp;$B23&amp;",",", "&amp;'Post Coding'!$I$8&amp;","))),1,0)+IF(AND('Post Coding'!$C$9=$A23,ISNUMBER(SEARCH(", "&amp;$B23&amp;",",", "&amp;'Post Coding'!$I$9&amp;","))),1,0)+IF(AND('Post Coding'!$C$10=$A23,ISNUMBER(SEARCH(", "&amp;$B23&amp;",",", "&amp;'Post Coding'!$I$10&amp;","))),1,0)+IF(AND('Post Coding'!$C$11=$A23,ISNUMBER(SEARCH(", "&amp;$B23&amp;",",", "&amp;'Post Coding'!$I$11&amp;","))),1,0)+IF(AND('Post Coding'!$C$12=$A23,ISNUMBER(SEARCH(", "&amp;$B23&amp;",",", "&amp;'Post Coding'!$I$12&amp;","))),1,0)+IF(AND('Post Coding'!$C$13=$A23,ISNUMBER(SEARCH(", "&amp;$B23&amp;",",", "&amp;'Post Coding'!$I$13&amp;","))),1,0)+IF(AND('Post Coding'!$C$14=$A23,ISNUMBER(SEARCH(", "&amp;$B23&amp;",",", "&amp;'Post Coding'!$I$14&amp;","))),1,0)+IF(AND('Post Coding'!$C$15=$A23,ISNUMBER(SEARCH(", "&amp;$B23&amp;",",", "&amp;'Post Coding'!$I$15&amp;","))),1,0)+IF(AND('Post Coding'!$C$16=$A23,ISNUMBER(SEARCH(", "&amp;$B23&amp;",",", "&amp;'Post Coding'!$I$16&amp;","))),1,0)+IF(AND('Post Coding'!$C$17=$A23,ISNUMBER(SEARCH(", "&amp;$B23&amp;",",", "&amp;'Post Coding'!$I$17&amp;","))),1,0)+IF(AND('Post Coding'!$C$18=$A23,ISNUMBER(SEARCH(", "&amp;$B23&amp;",",", "&amp;'Post Coding'!$I$18&amp;","))),1,0)+IF(AND('Post Coding'!$C$19=$A23,ISNUMBER(SEARCH(", "&amp;$B23&amp;",",", "&amp;'Post Coding'!$I$19&amp;","))),1,0)+IF(AND('Post Coding'!$C$20=$A23,ISNUMBER(SEARCH(", "&amp;$B23&amp;",",", "&amp;'Post Coding'!$I$20&amp;","))),1,0)+IF(AND('Post Coding'!$C$21=$A23,ISNUMBER(SEARCH(", "&amp;$B23&amp;",",", "&amp;'Post Coding'!$I$21&amp;","))),1,0)+IF(AND('Post Coding'!$C$22=$A23,ISNUMBER(SEARCH(", "&amp;$B23&amp;",",", "&amp;'Post Coding'!$I$22&amp;","))),1,0)+IF(AND('Post Coding'!$C$23=$A23,ISNUMBER(SEARCH(", "&amp;$B23&amp;",",", "&amp;'Post Coding'!$I$23&amp;","))),1,0)+IF(AND('Post Coding'!$C$24=$A23,ISNUMBER(SEARCH(", "&amp;$B23&amp;",",", "&amp;'Post Coding'!$I$24&amp;","))),1,0)+IF(AND('Post Coding'!$C$25=$A23,ISNUMBER(SEARCH(", "&amp;$B23&amp;",",", "&amp;'Post Coding'!$I$25&amp;","))),1,0)+IF(AND('Post Coding'!$C$26=$A23,ISNUMBER(SEARCH(", "&amp;$B23&amp;",",", "&amp;'Post Coding'!$I$26&amp;","))),1,0)</x:f>
        <x:v>1</x:v>
      </x:c>
      <x:c r="D23" s="160" t="n">
        <x:f>COUNTIF('Post Coding'!$C$5:$C$26,A23)</x:f>
        <x:v>3</x:v>
      </x:c>
      <x:c r="E23" s="161" t="n">
        <x:f>IF(D23=0,0,C23/D23)</x:f>
        <x:v>0.3333333333333333</x:v>
      </x:c>
    </x:row>
    <x:row r="24" ht="25" customHeight="1">
      <x:c r="A24" s="116" t="str">
        <x:v>Back-End &amp; Systems Integration Development</x:v>
      </x:c>
      <x:c r="B24" s="116" t="str">
        <x:v>Hibernate</x:v>
      </x:c>
      <x:c r="C24" s="160" t="n">
        <x:f>IF(AND('Post Coding'!$C$5=$A24,ISNUMBER(SEARCH(", "&amp;$B24&amp;",",", "&amp;'Post Coding'!$I$5&amp;","))),1,0)+IF(AND('Post Coding'!$C$6=$A24,ISNUMBER(SEARCH(", "&amp;$B24&amp;",",", "&amp;'Post Coding'!$I$6&amp;","))),1,0)+IF(AND('Post Coding'!$C$7=$A24,ISNUMBER(SEARCH(", "&amp;$B24&amp;",",", "&amp;'Post Coding'!$I$7&amp;","))),1,0)+IF(AND('Post Coding'!$C$8=$A24,ISNUMBER(SEARCH(", "&amp;$B24&amp;",",", "&amp;'Post Coding'!$I$8&amp;","))),1,0)+IF(AND('Post Coding'!$C$9=$A24,ISNUMBER(SEARCH(", "&amp;$B24&amp;",",", "&amp;'Post Coding'!$I$9&amp;","))),1,0)+IF(AND('Post Coding'!$C$10=$A24,ISNUMBER(SEARCH(", "&amp;$B24&amp;",",", "&amp;'Post Coding'!$I$10&amp;","))),1,0)+IF(AND('Post Coding'!$C$11=$A24,ISNUMBER(SEARCH(", "&amp;$B24&amp;",",", "&amp;'Post Coding'!$I$11&amp;","))),1,0)+IF(AND('Post Coding'!$C$12=$A24,ISNUMBER(SEARCH(", "&amp;$B24&amp;",",", "&amp;'Post Coding'!$I$12&amp;","))),1,0)+IF(AND('Post Coding'!$C$13=$A24,ISNUMBER(SEARCH(", "&amp;$B24&amp;",",", "&amp;'Post Coding'!$I$13&amp;","))),1,0)+IF(AND('Post Coding'!$C$14=$A24,ISNUMBER(SEARCH(", "&amp;$B24&amp;",",", "&amp;'Post Coding'!$I$14&amp;","))),1,0)+IF(AND('Post Coding'!$C$15=$A24,ISNUMBER(SEARCH(", "&amp;$B24&amp;",",", "&amp;'Post Coding'!$I$15&amp;","))),1,0)+IF(AND('Post Coding'!$C$16=$A24,ISNUMBER(SEARCH(", "&amp;$B24&amp;",",", "&amp;'Post Coding'!$I$16&amp;","))),1,0)+IF(AND('Post Coding'!$C$17=$A24,ISNUMBER(SEARCH(", "&amp;$B24&amp;",",", "&amp;'Post Coding'!$I$17&amp;","))),1,0)+IF(AND('Post Coding'!$C$18=$A24,ISNUMBER(SEARCH(", "&amp;$B24&amp;",",", "&amp;'Post Coding'!$I$18&amp;","))),1,0)+IF(AND('Post Coding'!$C$19=$A24,ISNUMBER(SEARCH(", "&amp;$B24&amp;",",", "&amp;'Post Coding'!$I$19&amp;","))),1,0)+IF(AND('Post Coding'!$C$20=$A24,ISNUMBER(SEARCH(", "&amp;$B24&amp;",",", "&amp;'Post Coding'!$I$20&amp;","))),1,0)+IF(AND('Post Coding'!$C$21=$A24,ISNUMBER(SEARCH(", "&amp;$B24&amp;",",", "&amp;'Post Coding'!$I$21&amp;","))),1,0)+IF(AND('Post Coding'!$C$22=$A24,ISNUMBER(SEARCH(", "&amp;$B24&amp;",",", "&amp;'Post Coding'!$I$22&amp;","))),1,0)+IF(AND('Post Coding'!$C$23=$A24,ISNUMBER(SEARCH(", "&amp;$B24&amp;",",", "&amp;'Post Coding'!$I$23&amp;","))),1,0)+IF(AND('Post Coding'!$C$24=$A24,ISNUMBER(SEARCH(", "&amp;$B24&amp;",",", "&amp;'Post Coding'!$I$24&amp;","))),1,0)+IF(AND('Post Coding'!$C$25=$A24,ISNUMBER(SEARCH(", "&amp;$B24&amp;",",", "&amp;'Post Coding'!$I$25&amp;","))),1,0)+IF(AND('Post Coding'!$C$26=$A24,ISNUMBER(SEARCH(", "&amp;$B24&amp;",",", "&amp;'Post Coding'!$I$26&amp;","))),1,0)</x:f>
        <x:v>1</x:v>
      </x:c>
      <x:c r="D24" s="160" t="n">
        <x:f>COUNTIF('Post Coding'!$C$5:$C$26,A24)</x:f>
        <x:v>3</x:v>
      </x:c>
      <x:c r="E24" s="161" t="n">
        <x:f>IF(D24=0,0,C24/D24)</x:f>
        <x:v>0.3333333333333333</x:v>
      </x:c>
    </x:row>
    <x:row r="25" ht="25" customHeight="1">
      <x:c r="A25" s="116" t="str">
        <x:v>Back-End &amp; Systems Integration Development</x:v>
      </x:c>
      <x:c r="B25" s="116" t="str">
        <x:v>PHP</x:v>
      </x:c>
      <x:c r="C25" s="160" t="n">
        <x:f>IF(AND('Post Coding'!$C$5=$A25,ISNUMBER(SEARCH(", "&amp;$B25&amp;",",", "&amp;'Post Coding'!$H$5&amp;","))),1,0)+IF(AND('Post Coding'!$C$6=$A25,ISNUMBER(SEARCH(", "&amp;$B25&amp;",",", "&amp;'Post Coding'!$H$6&amp;","))),1,0)+IF(AND('Post Coding'!$C$7=$A25,ISNUMBER(SEARCH(", "&amp;$B25&amp;",",", "&amp;'Post Coding'!$H$7&amp;","))),1,0)+IF(AND('Post Coding'!$C$8=$A25,ISNUMBER(SEARCH(", "&amp;$B25&amp;",",", "&amp;'Post Coding'!$H$8&amp;","))),1,0)+IF(AND('Post Coding'!$C$9=$A25,ISNUMBER(SEARCH(", "&amp;$B25&amp;",",", "&amp;'Post Coding'!$H$9&amp;","))),1,0)+IF(AND('Post Coding'!$C$10=$A25,ISNUMBER(SEARCH(", "&amp;$B25&amp;",",", "&amp;'Post Coding'!$H$10&amp;","))),1,0)+IF(AND('Post Coding'!$C$11=$A25,ISNUMBER(SEARCH(", "&amp;$B25&amp;",",", "&amp;'Post Coding'!$H$11&amp;","))),1,0)+IF(AND('Post Coding'!$C$12=$A25,ISNUMBER(SEARCH(", "&amp;$B25&amp;",",", "&amp;'Post Coding'!$H$12&amp;","))),1,0)+IF(AND('Post Coding'!$C$13=$A25,ISNUMBER(SEARCH(", "&amp;$B25&amp;",",", "&amp;'Post Coding'!$H$13&amp;","))),1,0)+IF(AND('Post Coding'!$C$14=$A25,ISNUMBER(SEARCH(", "&amp;$B25&amp;",",", "&amp;'Post Coding'!$H$14&amp;","))),1,0)+IF(AND('Post Coding'!$C$15=$A25,ISNUMBER(SEARCH(", "&amp;$B25&amp;",",", "&amp;'Post Coding'!$H$15&amp;","))),1,0)+IF(AND('Post Coding'!$C$16=$A25,ISNUMBER(SEARCH(", "&amp;$B25&amp;",",", "&amp;'Post Coding'!$H$16&amp;","))),1,0)+IF(AND('Post Coding'!$C$17=$A25,ISNUMBER(SEARCH(", "&amp;$B25&amp;",",", "&amp;'Post Coding'!$H$17&amp;","))),1,0)+IF(AND('Post Coding'!$C$18=$A25,ISNUMBER(SEARCH(", "&amp;$B25&amp;",",", "&amp;'Post Coding'!$H$18&amp;","))),1,0)+IF(AND('Post Coding'!$C$19=$A25,ISNUMBER(SEARCH(", "&amp;$B25&amp;",",", "&amp;'Post Coding'!$H$19&amp;","))),1,0)+IF(AND('Post Coding'!$C$20=$A25,ISNUMBER(SEARCH(", "&amp;$B25&amp;",",", "&amp;'Post Coding'!$H$20&amp;","))),1,0)+IF(AND('Post Coding'!$C$21=$A25,ISNUMBER(SEARCH(", "&amp;$B25&amp;",",", "&amp;'Post Coding'!$H$21&amp;","))),1,0)+IF(AND('Post Coding'!$C$22=$A25,ISNUMBER(SEARCH(", "&amp;$B25&amp;",",", "&amp;'Post Coding'!$H$22&amp;","))),1,0)+IF(AND('Post Coding'!$C$23=$A25,ISNUMBER(SEARCH(", "&amp;$B25&amp;",",", "&amp;'Post Coding'!$H$23&amp;","))),1,0)+IF(AND('Post Coding'!$C$24=$A25,ISNUMBER(SEARCH(", "&amp;$B25&amp;",",", "&amp;'Post Coding'!$H$24&amp;","))),1,0)+IF(AND('Post Coding'!$C$25=$A25,ISNUMBER(SEARCH(", "&amp;$B25&amp;",",", "&amp;'Post Coding'!$H$25&amp;","))),1,0)+IF(AND('Post Coding'!$C$26=$A25,ISNUMBER(SEARCH(", "&amp;$B25&amp;",",", "&amp;'Post Coding'!$H$26&amp;","))),1,0)</x:f>
        <x:v>1</x:v>
      </x:c>
      <x:c r="D25" s="160" t="n">
        <x:f>COUNTIF('Post Coding'!$C$5:$C$26,A25)</x:f>
        <x:v>3</x:v>
      </x:c>
      <x:c r="E25" s="161" t="n">
        <x:f>IF(D25=0,0,C25/D25)</x:f>
        <x:v>0.3333333333333333</x:v>
      </x:c>
    </x:row>
    <x:row r="26" ht="25" customHeight="1">
      <x:c r="A26" s="116" t="str">
        <x:v>AI, Data &amp; Cloud-Adjacent Engineering</x:v>
      </x:c>
      <x:c r="B26" s="116" t="str">
        <x:v>Python</x:v>
      </x:c>
      <x:c r="C26" s="160" t="n">
        <x:f>IF(AND('Post Coding'!$C$5=$A26,ISNUMBER(SEARCH(", "&amp;$B26&amp;",",", "&amp;'Post Coding'!$H$5&amp;","))),1,0)+IF(AND('Post Coding'!$C$6=$A26,ISNUMBER(SEARCH(", "&amp;$B26&amp;",",", "&amp;'Post Coding'!$H$6&amp;","))),1,0)+IF(AND('Post Coding'!$C$7=$A26,ISNUMBER(SEARCH(", "&amp;$B26&amp;",",", "&amp;'Post Coding'!$H$7&amp;","))),1,0)+IF(AND('Post Coding'!$C$8=$A26,ISNUMBER(SEARCH(", "&amp;$B26&amp;",",", "&amp;'Post Coding'!$H$8&amp;","))),1,0)+IF(AND('Post Coding'!$C$9=$A26,ISNUMBER(SEARCH(", "&amp;$B26&amp;",",", "&amp;'Post Coding'!$H$9&amp;","))),1,0)+IF(AND('Post Coding'!$C$10=$A26,ISNUMBER(SEARCH(", "&amp;$B26&amp;",",", "&amp;'Post Coding'!$H$10&amp;","))),1,0)+IF(AND('Post Coding'!$C$11=$A26,ISNUMBER(SEARCH(", "&amp;$B26&amp;",",", "&amp;'Post Coding'!$H$11&amp;","))),1,0)+IF(AND('Post Coding'!$C$12=$A26,ISNUMBER(SEARCH(", "&amp;$B26&amp;",",", "&amp;'Post Coding'!$H$12&amp;","))),1,0)+IF(AND('Post Coding'!$C$13=$A26,ISNUMBER(SEARCH(", "&amp;$B26&amp;",",", "&amp;'Post Coding'!$H$13&amp;","))),1,0)+IF(AND('Post Coding'!$C$14=$A26,ISNUMBER(SEARCH(", "&amp;$B26&amp;",",", "&amp;'Post Coding'!$H$14&amp;","))),1,0)+IF(AND('Post Coding'!$C$15=$A26,ISNUMBER(SEARCH(", "&amp;$B26&amp;",",", "&amp;'Post Coding'!$H$15&amp;","))),1,0)+IF(AND('Post Coding'!$C$16=$A26,ISNUMBER(SEARCH(", "&amp;$B26&amp;",",", "&amp;'Post Coding'!$H$16&amp;","))),1,0)+IF(AND('Post Coding'!$C$17=$A26,ISNUMBER(SEARCH(", "&amp;$B26&amp;",",", "&amp;'Post Coding'!$H$17&amp;","))),1,0)+IF(AND('Post Coding'!$C$18=$A26,ISNUMBER(SEARCH(", "&amp;$B26&amp;",",", "&amp;'Post Coding'!$H$18&amp;","))),1,0)+IF(AND('Post Coding'!$C$19=$A26,ISNUMBER(SEARCH(", "&amp;$B26&amp;",",", "&amp;'Post Coding'!$H$19&amp;","))),1,0)+IF(AND('Post Coding'!$C$20=$A26,ISNUMBER(SEARCH(", "&amp;$B26&amp;",",", "&amp;'Post Coding'!$H$20&amp;","))),1,0)+IF(AND('Post Coding'!$C$21=$A26,ISNUMBER(SEARCH(", "&amp;$B26&amp;",",", "&amp;'Post Coding'!$H$21&amp;","))),1,0)+IF(AND('Post Coding'!$C$22=$A26,ISNUMBER(SEARCH(", "&amp;$B26&amp;",",", "&amp;'Post Coding'!$H$22&amp;","))),1,0)+IF(AND('Post Coding'!$C$23=$A26,ISNUMBER(SEARCH(", "&amp;$B26&amp;",",", "&amp;'Post Coding'!$H$23&amp;","))),1,0)+IF(AND('Post Coding'!$C$24=$A26,ISNUMBER(SEARCH(", "&amp;$B26&amp;",",", "&amp;'Post Coding'!$H$24&amp;","))),1,0)+IF(AND('Post Coding'!$C$25=$A26,ISNUMBER(SEARCH(", "&amp;$B26&amp;",",", "&amp;'Post Coding'!$H$25&amp;","))),1,0)+IF(AND('Post Coding'!$C$26=$A26,ISNUMBER(SEARCH(", "&amp;$B26&amp;",",", "&amp;'Post Coding'!$H$26&amp;","))),1,0)</x:f>
        <x:v>3</x:v>
      </x:c>
      <x:c r="D26" s="160" t="n">
        <x:f>COUNTIF('Post Coding'!$C$5:$C$26,A26)</x:f>
        <x:v>3</x:v>
      </x:c>
      <x:c r="E26" s="161" t="n">
        <x:f>IF(D26=0,0,C26/D26)</x:f>
        <x:v>1</x:v>
      </x:c>
    </x:row>
    <x:row r="27" ht="25" customHeight="1">
      <x:c r="A27" s="116" t="str">
        <x:v>AI, Data &amp; Cloud-Adjacent Engineering</x:v>
      </x:c>
      <x:c r="B27" s="116" t="str">
        <x:v>C#</x:v>
      </x:c>
      <x:c r="C27" s="160" t="n">
        <x:f>IF(AND('Post Coding'!$C$5=$A27,ISNUMBER(SEARCH(", "&amp;$B27&amp;",",", "&amp;'Post Coding'!$H$5&amp;","))),1,0)+IF(AND('Post Coding'!$C$6=$A27,ISNUMBER(SEARCH(", "&amp;$B27&amp;",",", "&amp;'Post Coding'!$H$6&amp;","))),1,0)+IF(AND('Post Coding'!$C$7=$A27,ISNUMBER(SEARCH(", "&amp;$B27&amp;",",", "&amp;'Post Coding'!$H$7&amp;","))),1,0)+IF(AND('Post Coding'!$C$8=$A27,ISNUMBER(SEARCH(", "&amp;$B27&amp;",",", "&amp;'Post Coding'!$H$8&amp;","))),1,0)+IF(AND('Post Coding'!$C$9=$A27,ISNUMBER(SEARCH(", "&amp;$B27&amp;",",", "&amp;'Post Coding'!$H$9&amp;","))),1,0)+IF(AND('Post Coding'!$C$10=$A27,ISNUMBER(SEARCH(", "&amp;$B27&amp;",",", "&amp;'Post Coding'!$H$10&amp;","))),1,0)+IF(AND('Post Coding'!$C$11=$A27,ISNUMBER(SEARCH(", "&amp;$B27&amp;",",", "&amp;'Post Coding'!$H$11&amp;","))),1,0)+IF(AND('Post Coding'!$C$12=$A27,ISNUMBER(SEARCH(", "&amp;$B27&amp;",",", "&amp;'Post Coding'!$H$12&amp;","))),1,0)+IF(AND('Post Coding'!$C$13=$A27,ISNUMBER(SEARCH(", "&amp;$B27&amp;",",", "&amp;'Post Coding'!$H$13&amp;","))),1,0)+IF(AND('Post Coding'!$C$14=$A27,ISNUMBER(SEARCH(", "&amp;$B27&amp;",",", "&amp;'Post Coding'!$H$14&amp;","))),1,0)+IF(AND('Post Coding'!$C$15=$A27,ISNUMBER(SEARCH(", "&amp;$B27&amp;",",", "&amp;'Post Coding'!$H$15&amp;","))),1,0)+IF(AND('Post Coding'!$C$16=$A27,ISNUMBER(SEARCH(", "&amp;$B27&amp;",",", "&amp;'Post Coding'!$H$16&amp;","))),1,0)+IF(AND('Post Coding'!$C$17=$A27,ISNUMBER(SEARCH(", "&amp;$B27&amp;",",", "&amp;'Post Coding'!$H$17&amp;","))),1,0)+IF(AND('Post Coding'!$C$18=$A27,ISNUMBER(SEARCH(", "&amp;$B27&amp;",",", "&amp;'Post Coding'!$H$18&amp;","))),1,0)+IF(AND('Post Coding'!$C$19=$A27,ISNUMBER(SEARCH(", "&amp;$B27&amp;",",", "&amp;'Post Coding'!$H$19&amp;","))),1,0)+IF(AND('Post Coding'!$C$20=$A27,ISNUMBER(SEARCH(", "&amp;$B27&amp;",",", "&amp;'Post Coding'!$H$20&amp;","))),1,0)+IF(AND('Post Coding'!$C$21=$A27,ISNUMBER(SEARCH(", "&amp;$B27&amp;",",", "&amp;'Post Coding'!$H$21&amp;","))),1,0)+IF(AND('Post Coding'!$C$22=$A27,ISNUMBER(SEARCH(", "&amp;$B27&amp;",",", "&amp;'Post Coding'!$H$22&amp;","))),1,0)+IF(AND('Post Coding'!$C$23=$A27,ISNUMBER(SEARCH(", "&amp;$B27&amp;",",", "&amp;'Post Coding'!$H$23&amp;","))),1,0)+IF(AND('Post Coding'!$C$24=$A27,ISNUMBER(SEARCH(", "&amp;$B27&amp;",",", "&amp;'Post Coding'!$H$24&amp;","))),1,0)+IF(AND('Post Coding'!$C$25=$A27,ISNUMBER(SEARCH(", "&amp;$B27&amp;",",", "&amp;'Post Coding'!$H$25&amp;","))),1,0)+IF(AND('Post Coding'!$C$26=$A27,ISNUMBER(SEARCH(", "&amp;$B27&amp;",",", "&amp;'Post Coding'!$H$26&amp;","))),1,0)</x:f>
        <x:v>3</x:v>
      </x:c>
      <x:c r="D27" s="160" t="n">
        <x:f>COUNTIF('Post Coding'!$C$5:$C$26,A27)</x:f>
        <x:v>3</x:v>
      </x:c>
      <x:c r="E27" s="161" t="n">
        <x:f>IF(D27=0,0,C27/D27)</x:f>
        <x:v>1</x:v>
      </x:c>
    </x:row>
    <x:row r="28" ht="25" customHeight="1">
      <x:c r="A28" s="116" t="str">
        <x:v>AI, Data &amp; Cloud-Adjacent Engineering</x:v>
      </x:c>
      <x:c r="B28" s="116" t="str">
        <x:v>Git/GitHub</x:v>
      </x:c>
      <x:c r="C28" s="160" t="n">
        <x:f>IF(AND('Post Coding'!$C$5=$A28,ISNUMBER(SEARCH(", "&amp;$B28&amp;",",", "&amp;'Post Coding'!$J$5&amp;","))),1,0)+IF(AND('Post Coding'!$C$6=$A28,ISNUMBER(SEARCH(", "&amp;$B28&amp;",",", "&amp;'Post Coding'!$J$6&amp;","))),1,0)+IF(AND('Post Coding'!$C$7=$A28,ISNUMBER(SEARCH(", "&amp;$B28&amp;",",", "&amp;'Post Coding'!$J$7&amp;","))),1,0)+IF(AND('Post Coding'!$C$8=$A28,ISNUMBER(SEARCH(", "&amp;$B28&amp;",",", "&amp;'Post Coding'!$J$8&amp;","))),1,0)+IF(AND('Post Coding'!$C$9=$A28,ISNUMBER(SEARCH(", "&amp;$B28&amp;",",", "&amp;'Post Coding'!$J$9&amp;","))),1,0)+IF(AND('Post Coding'!$C$10=$A28,ISNUMBER(SEARCH(", "&amp;$B28&amp;",",", "&amp;'Post Coding'!$J$10&amp;","))),1,0)+IF(AND('Post Coding'!$C$11=$A28,ISNUMBER(SEARCH(", "&amp;$B28&amp;",",", "&amp;'Post Coding'!$J$11&amp;","))),1,0)+IF(AND('Post Coding'!$C$12=$A28,ISNUMBER(SEARCH(", "&amp;$B28&amp;",",", "&amp;'Post Coding'!$J$12&amp;","))),1,0)+IF(AND('Post Coding'!$C$13=$A28,ISNUMBER(SEARCH(", "&amp;$B28&amp;",",", "&amp;'Post Coding'!$J$13&amp;","))),1,0)+IF(AND('Post Coding'!$C$14=$A28,ISNUMBER(SEARCH(", "&amp;$B28&amp;",",", "&amp;'Post Coding'!$J$14&amp;","))),1,0)+IF(AND('Post Coding'!$C$15=$A28,ISNUMBER(SEARCH(", "&amp;$B28&amp;",",", "&amp;'Post Coding'!$J$15&amp;","))),1,0)+IF(AND('Post Coding'!$C$16=$A28,ISNUMBER(SEARCH(", "&amp;$B28&amp;",",", "&amp;'Post Coding'!$J$16&amp;","))),1,0)+IF(AND('Post Coding'!$C$17=$A28,ISNUMBER(SEARCH(", "&amp;$B28&amp;",",", "&amp;'Post Coding'!$J$17&amp;","))),1,0)+IF(AND('Post Coding'!$C$18=$A28,ISNUMBER(SEARCH(", "&amp;$B28&amp;",",", "&amp;'Post Coding'!$J$18&amp;","))),1,0)+IF(AND('Post Coding'!$C$19=$A28,ISNUMBER(SEARCH(", "&amp;$B28&amp;",",", "&amp;'Post Coding'!$J$19&amp;","))),1,0)+IF(AND('Post Coding'!$C$20=$A28,ISNUMBER(SEARCH(", "&amp;$B28&amp;",",", "&amp;'Post Coding'!$J$20&amp;","))),1,0)+IF(AND('Post Coding'!$C$21=$A28,ISNUMBER(SEARCH(", "&amp;$B28&amp;",",", "&amp;'Post Coding'!$J$21&amp;","))),1,0)+IF(AND('Post Coding'!$C$22=$A28,ISNUMBER(SEARCH(", "&amp;$B28&amp;",",", "&amp;'Post Coding'!$J$22&amp;","))),1,0)+IF(AND('Post Coding'!$C$23=$A28,ISNUMBER(SEARCH(", "&amp;$B28&amp;",",", "&amp;'Post Coding'!$J$23&amp;","))),1,0)+IF(AND('Post Coding'!$C$24=$A28,ISNUMBER(SEARCH(", "&amp;$B28&amp;",",", "&amp;'Post Coding'!$J$24&amp;","))),1,0)+IF(AND('Post Coding'!$C$25=$A28,ISNUMBER(SEARCH(", "&amp;$B28&amp;",",", "&amp;'Post Coding'!$J$25&amp;","))),1,0)+IF(AND('Post Coding'!$C$26=$A28,ISNUMBER(SEARCH(", "&amp;$B28&amp;",",", "&amp;'Post Coding'!$J$26&amp;","))),1,0)</x:f>
        <x:v>3</x:v>
      </x:c>
      <x:c r="D28" s="160" t="n">
        <x:f>COUNTIF('Post Coding'!$C$5:$C$26,A28)</x:f>
        <x:v>3</x:v>
      </x:c>
      <x:c r="E28" s="161" t="n">
        <x:f>IF(D28=0,0,C28/D28)</x:f>
        <x:v>1</x:v>
      </x:c>
    </x:row>
    <x:row r="29" ht="25" customHeight="1">
      <x:c r="A29" s="116" t="str">
        <x:v>AI, Data &amp; Cloud-Adjacent Engineering</x:v>
      </x:c>
      <x:c r="B29" s="116" t="str">
        <x:v>Azure</x:v>
      </x:c>
      <x:c r="C29" s="160" t="n">
        <x:f>IF(AND('Post Coding'!$C$5=$A29,ISNUMBER(SEARCH(", "&amp;$B29&amp;",",", "&amp;'Post Coding'!$J$5&amp;","))),1,0)+IF(AND('Post Coding'!$C$6=$A29,ISNUMBER(SEARCH(", "&amp;$B29&amp;",",", "&amp;'Post Coding'!$J$6&amp;","))),1,0)+IF(AND('Post Coding'!$C$7=$A29,ISNUMBER(SEARCH(", "&amp;$B29&amp;",",", "&amp;'Post Coding'!$J$7&amp;","))),1,0)+IF(AND('Post Coding'!$C$8=$A29,ISNUMBER(SEARCH(", "&amp;$B29&amp;",",", "&amp;'Post Coding'!$J$8&amp;","))),1,0)+IF(AND('Post Coding'!$C$9=$A29,ISNUMBER(SEARCH(", "&amp;$B29&amp;",",", "&amp;'Post Coding'!$J$9&amp;","))),1,0)+IF(AND('Post Coding'!$C$10=$A29,ISNUMBER(SEARCH(", "&amp;$B29&amp;",",", "&amp;'Post Coding'!$J$10&amp;","))),1,0)+IF(AND('Post Coding'!$C$11=$A29,ISNUMBER(SEARCH(", "&amp;$B29&amp;",",", "&amp;'Post Coding'!$J$11&amp;","))),1,0)+IF(AND('Post Coding'!$C$12=$A29,ISNUMBER(SEARCH(", "&amp;$B29&amp;",",", "&amp;'Post Coding'!$J$12&amp;","))),1,0)+IF(AND('Post Coding'!$C$13=$A29,ISNUMBER(SEARCH(", "&amp;$B29&amp;",",", "&amp;'Post Coding'!$J$13&amp;","))),1,0)+IF(AND('Post Coding'!$C$14=$A29,ISNUMBER(SEARCH(", "&amp;$B29&amp;",",", "&amp;'Post Coding'!$J$14&amp;","))),1,0)+IF(AND('Post Coding'!$C$15=$A29,ISNUMBER(SEARCH(", "&amp;$B29&amp;",",", "&amp;'Post Coding'!$J$15&amp;","))),1,0)+IF(AND('Post Coding'!$C$16=$A29,ISNUMBER(SEARCH(", "&amp;$B29&amp;",",", "&amp;'Post Coding'!$J$16&amp;","))),1,0)+IF(AND('Post Coding'!$C$17=$A29,ISNUMBER(SEARCH(", "&amp;$B29&amp;",",", "&amp;'Post Coding'!$J$17&amp;","))),1,0)+IF(AND('Post Coding'!$C$18=$A29,ISNUMBER(SEARCH(", "&amp;$B29&amp;",",", "&amp;'Post Coding'!$J$18&amp;","))),1,0)+IF(AND('Post Coding'!$C$19=$A29,ISNUMBER(SEARCH(", "&amp;$B29&amp;",",", "&amp;'Post Coding'!$J$19&amp;","))),1,0)+IF(AND('Post Coding'!$C$20=$A29,ISNUMBER(SEARCH(", "&amp;$B29&amp;",",", "&amp;'Post Coding'!$J$20&amp;","))),1,0)+IF(AND('Post Coding'!$C$21=$A29,ISNUMBER(SEARCH(", "&amp;$B29&amp;",",", "&amp;'Post Coding'!$J$21&amp;","))),1,0)+IF(AND('Post Coding'!$C$22=$A29,ISNUMBER(SEARCH(", "&amp;$B29&amp;",",", "&amp;'Post Coding'!$J$22&amp;","))),1,0)+IF(AND('Post Coding'!$C$23=$A29,ISNUMBER(SEARCH(", "&amp;$B29&amp;",",", "&amp;'Post Coding'!$J$23&amp;","))),1,0)+IF(AND('Post Coding'!$C$24=$A29,ISNUMBER(SEARCH(", "&amp;$B29&amp;",",", "&amp;'Post Coding'!$J$24&amp;","))),1,0)+IF(AND('Post Coding'!$C$25=$A29,ISNUMBER(SEARCH(", "&amp;$B29&amp;",",", "&amp;'Post Coding'!$J$25&amp;","))),1,0)+IF(AND('Post Coding'!$C$26=$A29,ISNUMBER(SEARCH(", "&amp;$B29&amp;",",", "&amp;'Post Coding'!$J$26&amp;","))),1,0)</x:f>
        <x:v>2</x:v>
      </x:c>
      <x:c r="D29" s="160" t="n">
        <x:f>COUNTIF('Post Coding'!$C$5:$C$26,A29)</x:f>
        <x:v>3</x:v>
      </x:c>
      <x:c r="E29" s="161" t="n">
        <x:f>IF(D29=0,0,C29/D29)</x:f>
        <x:v>0.6666666666666666</x:v>
      </x:c>
    </x:row>
    <x:row r="30" ht="25" customHeight="1">
      <x:c r="A30" s="116" t="str">
        <x:v>AI, Data &amp; Cloud-Adjacent Engineering</x:v>
      </x:c>
      <x:c r="B30" s="116" t="str">
        <x:v>.NET</x:v>
      </x:c>
      <x:c r="C30" s="160" t="n">
        <x:f>IF(AND('Post Coding'!$C$5=$A30,ISNUMBER(SEARCH(", "&amp;$B30&amp;",",", "&amp;'Post Coding'!$I$5&amp;","))),1,0)+IF(AND('Post Coding'!$C$6=$A30,ISNUMBER(SEARCH(", "&amp;$B30&amp;",",", "&amp;'Post Coding'!$I$6&amp;","))),1,0)+IF(AND('Post Coding'!$C$7=$A30,ISNUMBER(SEARCH(", "&amp;$B30&amp;",",", "&amp;'Post Coding'!$I$7&amp;","))),1,0)+IF(AND('Post Coding'!$C$8=$A30,ISNUMBER(SEARCH(", "&amp;$B30&amp;",",", "&amp;'Post Coding'!$I$8&amp;","))),1,0)+IF(AND('Post Coding'!$C$9=$A30,ISNUMBER(SEARCH(", "&amp;$B30&amp;",",", "&amp;'Post Coding'!$I$9&amp;","))),1,0)+IF(AND('Post Coding'!$C$10=$A30,ISNUMBER(SEARCH(", "&amp;$B30&amp;",",", "&amp;'Post Coding'!$I$10&amp;","))),1,0)+IF(AND('Post Coding'!$C$11=$A30,ISNUMBER(SEARCH(", "&amp;$B30&amp;",",", "&amp;'Post Coding'!$I$11&amp;","))),1,0)+IF(AND('Post Coding'!$C$12=$A30,ISNUMBER(SEARCH(", "&amp;$B30&amp;",",", "&amp;'Post Coding'!$I$12&amp;","))),1,0)+IF(AND('Post Coding'!$C$13=$A30,ISNUMBER(SEARCH(", "&amp;$B30&amp;",",", "&amp;'Post Coding'!$I$13&amp;","))),1,0)+IF(AND('Post Coding'!$C$14=$A30,ISNUMBER(SEARCH(", "&amp;$B30&amp;",",", "&amp;'Post Coding'!$I$14&amp;","))),1,0)+IF(AND('Post Coding'!$C$15=$A30,ISNUMBER(SEARCH(", "&amp;$B30&amp;",",", "&amp;'Post Coding'!$I$15&amp;","))),1,0)+IF(AND('Post Coding'!$C$16=$A30,ISNUMBER(SEARCH(", "&amp;$B30&amp;",",", "&amp;'Post Coding'!$I$16&amp;","))),1,0)+IF(AND('Post Coding'!$C$17=$A30,ISNUMBER(SEARCH(", "&amp;$B30&amp;",",", "&amp;'Post Coding'!$I$17&amp;","))),1,0)+IF(AND('Post Coding'!$C$18=$A30,ISNUMBER(SEARCH(", "&amp;$B30&amp;",",", "&amp;'Post Coding'!$I$18&amp;","))),1,0)+IF(AND('Post Coding'!$C$19=$A30,ISNUMBER(SEARCH(", "&amp;$B30&amp;",",", "&amp;'Post Coding'!$I$19&amp;","))),1,0)+IF(AND('Post Coding'!$C$20=$A30,ISNUMBER(SEARCH(", "&amp;$B30&amp;",",", "&amp;'Post Coding'!$I$20&amp;","))),1,0)+IF(AND('Post Coding'!$C$21=$A30,ISNUMBER(SEARCH(", "&amp;$B30&amp;",",", "&amp;'Post Coding'!$I$21&amp;","))),1,0)+IF(AND('Post Coding'!$C$22=$A30,ISNUMBER(SEARCH(", "&amp;$B30&amp;",",", "&amp;'Post Coding'!$I$22&amp;","))),1,0)+IF(AND('Post Coding'!$C$23=$A30,ISNUMBER(SEARCH(", "&amp;$B30&amp;",",", "&amp;'Post Coding'!$I$23&amp;","))),1,0)+IF(AND('Post Coding'!$C$24=$A30,ISNUMBER(SEARCH(", "&amp;$B30&amp;",",", "&amp;'Post Coding'!$I$24&amp;","))),1,0)+IF(AND('Post Coding'!$C$25=$A30,ISNUMBER(SEARCH(", "&amp;$B30&amp;",",", "&amp;'Post Coding'!$I$25&amp;","))),1,0)+IF(AND('Post Coding'!$C$26=$A30,ISNUMBER(SEARCH(", "&amp;$B30&amp;",",", "&amp;'Post Coding'!$I$26&amp;","))),1,0)</x:f>
        <x:v>2</x:v>
      </x:c>
      <x:c r="D30" s="160" t="n">
        <x:f>COUNTIF('Post Coding'!$C$5:$C$26,A30)</x:f>
        <x:v>3</x:v>
      </x:c>
      <x:c r="E30" s="161" t="n">
        <x:f>IF(D30=0,0,C30/D30)</x:f>
        <x:v>0.6666666666666666</x:v>
      </x:c>
    </x:row>
    <x:row r="31" ht="25" customHeight="1">
      <x:c r="A31" s="116" t="str">
        <x:v>AI, Data &amp; Cloud-Adjacent Engineering</x:v>
      </x:c>
      <x:c r="B31" s="116" t="str">
        <x:v>Java</x:v>
      </x:c>
      <x:c r="C31" s="160" t="n">
        <x:f>IF(AND('Post Coding'!$C$5=$A31,ISNUMBER(SEARCH(", "&amp;$B31&amp;",",", "&amp;'Post Coding'!$H$5&amp;","))),1,0)+IF(AND('Post Coding'!$C$6=$A31,ISNUMBER(SEARCH(", "&amp;$B31&amp;",",", "&amp;'Post Coding'!$H$6&amp;","))),1,0)+IF(AND('Post Coding'!$C$7=$A31,ISNUMBER(SEARCH(", "&amp;$B31&amp;",",", "&amp;'Post Coding'!$H$7&amp;","))),1,0)+IF(AND('Post Coding'!$C$8=$A31,ISNUMBER(SEARCH(", "&amp;$B31&amp;",",", "&amp;'Post Coding'!$H$8&amp;","))),1,0)+IF(AND('Post Coding'!$C$9=$A31,ISNUMBER(SEARCH(", "&amp;$B31&amp;",",", "&amp;'Post Coding'!$H$9&amp;","))),1,0)+IF(AND('Post Coding'!$C$10=$A31,ISNUMBER(SEARCH(", "&amp;$B31&amp;",",", "&amp;'Post Coding'!$H$10&amp;","))),1,0)+IF(AND('Post Coding'!$C$11=$A31,ISNUMBER(SEARCH(", "&amp;$B31&amp;",",", "&amp;'Post Coding'!$H$11&amp;","))),1,0)+IF(AND('Post Coding'!$C$12=$A31,ISNUMBER(SEARCH(", "&amp;$B31&amp;",",", "&amp;'Post Coding'!$H$12&amp;","))),1,0)+IF(AND('Post Coding'!$C$13=$A31,ISNUMBER(SEARCH(", "&amp;$B31&amp;",",", "&amp;'Post Coding'!$H$13&amp;","))),1,0)+IF(AND('Post Coding'!$C$14=$A31,ISNUMBER(SEARCH(", "&amp;$B31&amp;",",", "&amp;'Post Coding'!$H$14&amp;","))),1,0)+IF(AND('Post Coding'!$C$15=$A31,ISNUMBER(SEARCH(", "&amp;$B31&amp;",",", "&amp;'Post Coding'!$H$15&amp;","))),1,0)+IF(AND('Post Coding'!$C$16=$A31,ISNUMBER(SEARCH(", "&amp;$B31&amp;",",", "&amp;'Post Coding'!$H$16&amp;","))),1,0)+IF(AND('Post Coding'!$C$17=$A31,ISNUMBER(SEARCH(", "&amp;$B31&amp;",",", "&amp;'Post Coding'!$H$17&amp;","))),1,0)+IF(AND('Post Coding'!$C$18=$A31,ISNUMBER(SEARCH(", "&amp;$B31&amp;",",", "&amp;'Post Coding'!$H$18&amp;","))),1,0)+IF(AND('Post Coding'!$C$19=$A31,ISNUMBER(SEARCH(", "&amp;$B31&amp;",",", "&amp;'Post Coding'!$H$19&amp;","))),1,0)+IF(AND('Post Coding'!$C$20=$A31,ISNUMBER(SEARCH(", "&amp;$B31&amp;",",", "&amp;'Post Coding'!$H$20&amp;","))),1,0)+IF(AND('Post Coding'!$C$21=$A31,ISNUMBER(SEARCH(", "&amp;$B31&amp;",",", "&amp;'Post Coding'!$H$21&amp;","))),1,0)+IF(AND('Post Coding'!$C$22=$A31,ISNUMBER(SEARCH(", "&amp;$B31&amp;",",", "&amp;'Post Coding'!$H$22&amp;","))),1,0)+IF(AND('Post Coding'!$C$23=$A31,ISNUMBER(SEARCH(", "&amp;$B31&amp;",",", "&amp;'Post Coding'!$H$23&amp;","))),1,0)+IF(AND('Post Coding'!$C$24=$A31,ISNUMBER(SEARCH(", "&amp;$B31&amp;",",", "&amp;'Post Coding'!$H$24&amp;","))),1,0)+IF(AND('Post Coding'!$C$25=$A31,ISNUMBER(SEARCH(", "&amp;$B31&amp;",",", "&amp;'Post Coding'!$H$25&amp;","))),1,0)+IF(AND('Post Coding'!$C$26=$A31,ISNUMBER(SEARCH(", "&amp;$B31&amp;",",", "&amp;'Post Coding'!$H$26&amp;","))),1,0)</x:f>
        <x:v>2</x:v>
      </x:c>
      <x:c r="D31" s="160" t="n">
        <x:f>COUNTIF('Post Coding'!$C$5:$C$26,A31)</x:f>
        <x:v>3</x:v>
      </x:c>
      <x:c r="E31" s="161" t="n">
        <x:f>IF(D31=0,0,C31/D31)</x:f>
        <x:v>0.6666666666666666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bf146de64150446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9" hidden="0" customWidth="1"/>
    <x:col min="3" max="3" width="26" hidden="0" customWidth="1"/>
    <x:col min="4" max="4" width="58" hidden="0" customWidth="1"/>
    <x:col min="5" max="5" width="35" hidden="0" customWidth="1"/>
  </x:cols>
  <x:sheetData>
    <x:row r="1" ht="34" customHeight="1">
      <x:c r="A1" s="98" t="str">
        <x:v>Lane hypothesis decision log</x:v>
      </x:c>
      <x:c r="B1" s="98"/>
      <x:c r="C1" s="98"/>
      <x:c r="D1" s="98"/>
      <x:c r="E1" s="98"/>
    </x:row>
    <x:row r="2" ht="30" customHeight="1">
      <x:c r="A2" s="99" t="str">
        <x:v>This log prevents stack names, job-entry mechanisms and single adverts from becoming lanes without sufficient justification.</x:v>
      </x:c>
      <x:c r="B2" s="99"/>
      <x:c r="C2" s="99"/>
      <x:c r="D2" s="99"/>
      <x:c r="E2" s="99"/>
    </x:row>
    <x:row r="3">
      <x:c r="A3" s="100"/>
      <x:c r="B3" s="100"/>
      <x:c r="C3" s="100"/>
      <x:c r="D3" s="100"/>
      <x:c r="E3" s="100"/>
    </x:row>
    <x:row r="4" ht="30" customHeight="1">
      <x:c r="A4" s="108" t="str">
        <x:v>Decision ID</x:v>
      </x:c>
      <x:c r="B4" s="109" t="str">
        <x:v>Hypothesis</x:v>
      </x:c>
      <x:c r="C4" s="109" t="str">
        <x:v>Decision</x:v>
      </x:c>
      <x:c r="D4" s="109" t="str">
        <x:v>Reason</x:v>
      </x:c>
      <x:c r="E4" s="110" t="str">
        <x:v>Final placement</x:v>
      </x:c>
    </x:row>
    <x:row r="5" ht="60" customHeight="1">
      <x:c r="A5" s="111" t="str">
        <x:v>D-01</x:v>
      </x:c>
      <x:c r="B5" s="111" t="str">
        <x:v>Application/full-stack should be a core lane</x:v>
      </x:c>
      <x:c r="C5" s="111" t="str">
        <x:v>Keep</x:v>
      </x:c>
      <x:c r="D5" s="111" t="str">
        <x:v>Nine primary posts show end-to-end application work across interface, logic, APIs and data.</x:v>
      </x:c>
      <x:c r="E5" s="111" t="str">
        <x:v>Application &amp; Full-Stack Development</x:v>
      </x:c>
    </x:row>
    <x:row r="6" ht="60" customHeight="1">
      <x:c r="A6" s="116" t="str">
        <x:v>D-02</x:v>
      </x:c>
      <x:c r="B6" s="116" t="str">
        <x:v>Front-end/web should be a core lane</x:v>
      </x:c>
      <x:c r="C6" s="116" t="str">
        <x:v>Keep</x:v>
      </x:c>
      <x:c r="D6" s="116" t="str">
        <x:v>Three dedicated roles show distinct browser, SPA, interface, state, performance and accessibility concerns.</x:v>
      </x:c>
      <x:c r="E6" s="116" t="str">
        <x:v>Front-End &amp; Web Interface Development</x:v>
      </x:c>
    </x:row>
    <x:row r="7" ht="60" customHeight="1">
      <x:c r="A7" s="116" t="str">
        <x:v>D-03</x:v>
      </x:c>
      <x:c r="B7" s="116" t="str">
        <x:v>Back-end should be a core lane</x:v>
      </x:c>
      <x:c r="C7" s="116" t="str">
        <x:v>Keep</x:v>
      </x:c>
      <x:c r="D7" s="116" t="str">
        <x:v>Three dedicated roles plus overlap show server-side services, databases, APIs, Linux and integration work.</x:v>
      </x:c>
      <x:c r="E7" s="116" t="str">
        <x:v>Back-End &amp; Systems Integration Development</x:v>
      </x:c>
    </x:row>
    <x:row r="8" ht="60" customHeight="1">
      <x:c r="A8" s="116" t="str">
        <x:v>D-04</x:v>
      </x:c>
      <x:c r="B8" s="116" t="str">
        <x:v>AI/data/cloud should be an equal core lane</x:v>
      </x:c>
      <x:c r="C8" s="116" t="str">
        <x:v>Do not keep as equal lane</x:v>
      </x:c>
      <x:c r="D8" s="116" t="str">
        <x:v>Three usable roles are distinctive but heterogeneous; present the pattern as an exploratory specialisation after shared foundations.</x:v>
      </x:c>
      <x:c r="E8" s="116" t="str">
        <x:v>AI, Data &amp; Cloud-Adjacent Engineering</x:v>
      </x:c>
    </x:row>
    <x:row r="9" ht="60" customHeight="1">
      <x:c r="A9" s="116" t="str">
        <x:v>D-05</x:v>
      </x:c>
      <x:c r="B9" s="116" t="str">
        <x:v>Graduate/internship roles form a career lane</x:v>
      </x:c>
      <x:c r="C9" s="116" t="str">
        <x:v>Merge</x:v>
      </x:c>
      <x:c r="D9" s="116" t="str">
        <x:v>They describe an entry mechanism and learning environment rather than a distinct destination.</x:v>
      </x:c>
      <x:c r="E9" s="116" t="str">
        <x:v>Shared foundation / entry route</x:v>
      </x:c>
    </x:row>
    <x:row r="10" ht="60" customHeight="1">
      <x:c r="A10" s="116" t="str">
        <x:v>D-06</x:v>
      </x:c>
      <x:c r="B10" s="116" t="str">
        <x:v>Microsoft/.NET should be its own lane</x:v>
      </x:c>
      <x:c r="C10" s="116" t="str">
        <x:v>Merge as stack variant</x:v>
      </x:c>
      <x:c r="D10" s="116" t="str">
        <x:v>.NET is prominent, but vendor ecosystem alone does not create a different work outcome from application/full-stack development.</x:v>
      </x:c>
      <x:c r="E10" s="116" t="str">
        <x:v>Application &amp; Full-Stack Development</x:v>
      </x:c>
    </x:row>
    <x:row r="11" ht="60" customHeight="1">
      <x:c r="A11" s="116" t="str">
        <x:v>D-07</x:v>
      </x:c>
      <x:c r="B11" s="116" t="str">
        <x:v>Java enterprise should be its own lane</x:v>
      </x:c>
      <x:c r="C11" s="116" t="str">
        <x:v>Merge as stack variant</x:v>
      </x:c>
      <x:c r="D11" s="116" t="str">
        <x:v>Java/Spring/Hibernate is a coherent back-end stack, but the sample supports it as a variant within server-side development.</x:v>
      </x:c>
      <x:c r="E11" s="116" t="str">
        <x:v>Back-End &amp; Systems Integration Development</x:v>
      </x:c>
    </x:row>
    <x:row r="12" ht="60" customHeight="1">
      <x:c r="A12" s="116" t="str">
        <x:v>D-08</x:v>
      </x:c>
      <x:c r="B12" s="116" t="str">
        <x:v>PHP/server-side web should be its own lane</x:v>
      </x:c>
      <x:c r="C12" s="116" t="str">
        <x:v>Merge as stack variant</x:v>
      </x:c>
      <x:c r="D12" s="116" t="str">
        <x:v>One dedicated PHP role is insufficient for a separate lane and fits the back-end responsibility pattern.</x:v>
      </x:c>
      <x:c r="E12" s="116" t="str">
        <x:v>Back-End &amp; Systems Integration Development</x:v>
      </x:c>
    </x:row>
    <x:row r="13" ht="60" customHeight="1">
      <x:c r="A13" s="116" t="str">
        <x:v>D-09</x:v>
      </x:c>
      <x:c r="B13" s="116" t="str">
        <x:v>SE-025 should strengthen the AI lane</x:v>
      </x:c>
      <x:c r="C13" s="116" t="str">
        <x:v>Exclude from lane-defining evidence</x:v>
      </x:c>
      <x:c r="D13" s="116" t="str">
        <x:v>Its AI title conflicts with duplicated .NET full-stack requirements and no AI-specific responsibilities are captured.</x:v>
      </x:c>
      <x:c r="E13" s="116" t="str">
        <x:v>Documented ambiguity</x:v>
      </x:c>
    </x:row>
  </x:sheetData>
  <x:mergeCells>
    <x:mergeCell ref="A1:E1"/>
    <x:mergeCell ref="A2:E2"/>
  </x:mergeCells>
  <x:conditionalFormatting sqref="C5:C13">
    <x:cfRule type="containsText" dxfId="3" priority="1" operator="containsText" text="Keep"/>
    <x:cfRule type="containsText" dxfId="4" priority="2" operator="containsText" text="Merge"/>
    <x:cfRule type="containsText" dxfId="5" priority="3" operator="containsText" text="Exclude"/>
  </x:conditionalFormatting>
  <x:pageMargins left="0.7" right="0.7" top="0.75" bottom="0.75" header="0.3" footer="0.3"/>
  <x:tableParts count="1">
    <x:tablePart xmlns:r="http://schemas.openxmlformats.org/officeDocument/2006/relationships" r:id="R5e1de148fb6340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5" hidden="0" customWidth="1"/>
    <x:col min="3" max="3" width="62" hidden="0" customWidth="1"/>
    <x:col min="4" max="4" width="15" hidden="0" customWidth="1"/>
    <x:col min="5" max="5" width="18" hidden="0" customWidth="1"/>
    <x:col min="6" max="6" width="18" hidden="0" customWidth="1"/>
  </x:cols>
  <x:sheetData>
    <x:row r="1" ht="34" customHeight="1">
      <x:c r="A1" s="98" t="str">
        <x:v>Method, limitations and QA</x:v>
      </x:c>
      <x:c r="B1" s="98"/>
      <x:c r="C1" s="98"/>
      <x:c r="D1" s="98"/>
      <x:c r="E1" s="98"/>
      <x:c r="F1" s="98"/>
    </x:row>
    <x:row r="2" ht="30" customHeight="1">
      <x:c r="A2" s="99" t="str">
        <x:v>Lane derivation rules are intentionally stricter than ordinary job-title grouping.</x:v>
      </x:c>
      <x:c r="B2" s="99"/>
      <x:c r="C2" s="99"/>
      <x:c r="D2" s="99"/>
      <x:c r="E2" s="99"/>
      <x:c r="F2" s="99"/>
    </x:row>
    <x:row r="3">
      <x:c r="A3" s="100"/>
      <x:c r="B3" s="100"/>
      <x:c r="C3" s="100"/>
      <x:c r="D3" s="100"/>
      <x:c r="E3" s="100"/>
      <x:c r="F3" s="100"/>
    </x:row>
    <x:row r="4">
      <x:c r="A4" s="165" t="str">
        <x:v>Lane inclusion gates</x:v>
      </x:c>
      <x:c r="B4" s="165"/>
      <x:c r="C4" s="165"/>
      <x:c r="D4" s="165"/>
      <x:c r="E4" s="165"/>
      <x:c r="F4" s="165"/>
    </x:row>
    <x:row r="5" ht="42" customHeight="1">
      <x:c r="A5" s="111" t="str">
        <x:v>1</x:v>
      </x:c>
      <x:c r="B5" s="111" t="str">
        <x:v>Recurring work pattern</x:v>
      </x:c>
      <x:c r="C5" s="111" t="str">
        <x:v>The roles must share a recognisable responsibility or problem pattern, not only a title.</x:v>
      </x:c>
      <x:c r="D5" s="100"/>
      <x:c r="E5" s="100"/>
      <x:c r="F5" s="100"/>
    </x:row>
    <x:row r="6" ht="42" customHeight="1">
      <x:c r="A6" s="116" t="str">
        <x:v>2</x:v>
      </x:c>
      <x:c r="B6" s="116" t="str">
        <x:v>Multiple evidence points</x:v>
      </x:c>
      <x:c r="C6" s="116" t="str">
        <x:v>A single advert normally becomes a variant or note, not a peer lane.</x:v>
      </x:c>
      <x:c r="D6" s="100"/>
      <x:c r="E6" s="100"/>
      <x:c r="F6" s="100"/>
    </x:row>
    <x:row r="7" ht="42" customHeight="1">
      <x:c r="A7" s="116" t="str">
        <x:v>3</x:v>
      </x:c>
      <x:c r="B7" s="116" t="str">
        <x:v>Different candidate action</x:v>
      </x:c>
      <x:c r="C7" s="116" t="str">
        <x:v>Choosing the lane must change skill priorities, project evidence or target roles.</x:v>
      </x:c>
      <x:c r="D7" s="100"/>
      <x:c r="E7" s="100"/>
      <x:c r="F7" s="100"/>
    </x:row>
    <x:row r="8" ht="42" customHeight="1">
      <x:c r="A8" s="116" t="str">
        <x:v>4</x:v>
      </x:c>
      <x:c r="B8" s="116" t="str">
        <x:v>Not merely a vendor stack</x:v>
      </x:c>
      <x:c r="C8" s="116" t="str">
        <x:v>A language, framework or platform ecosystem is normally a variant inside a broader work pattern.</x:v>
      </x:c>
      <x:c r="D8" s="100"/>
      <x:c r="E8" s="100"/>
      <x:c r="F8" s="100"/>
    </x:row>
    <x:row r="9" ht="42" customHeight="1">
      <x:c r="A9" s="116" t="str">
        <x:v>5</x:v>
      </x:c>
      <x:c r="B9" s="116" t="str">
        <x:v>Defensible customer wording</x:v>
      </x:c>
      <x:c r="C9" s="116" t="str">
        <x:v>The lane must be explainable without implying that the 22-post sample represents every employer.</x:v>
      </x:c>
      <x:c r="D9" s="100"/>
      <x:c r="E9" s="100"/>
      <x:c r="F9" s="100"/>
    </x:row>
    <x:row r="10">
      <x:c r="A10" s="100"/>
      <x:c r="B10" s="100"/>
      <x:c r="C10" s="100"/>
      <x:c r="D10" s="100"/>
      <x:c r="E10" s="100"/>
      <x:c r="F10" s="100"/>
    </x:row>
    <x:row r="11">
      <x:c r="A11" s="165" t="str">
        <x:v>QA checks</x:v>
      </x:c>
      <x:c r="B11" s="165"/>
      <x:c r="C11" s="165"/>
      <x:c r="D11" s="165"/>
      <x:c r="E11" s="165"/>
      <x:c r="F11" s="165"/>
    </x:row>
    <x:row r="12" ht="30" customHeight="1">
      <x:c r="A12" s="108" t="str">
        <x:v>Check</x:v>
      </x:c>
      <x:c r="B12" s="109" t="str">
        <x:v>Expected</x:v>
      </x:c>
      <x:c r="C12" s="109" t="str">
        <x:v>Result</x:v>
      </x:c>
      <x:c r="D12" s="110" t="str">
        <x:v>Status</x:v>
      </x:c>
      <x:c r="E12" s="100"/>
      <x:c r="F12" s="100"/>
    </x:row>
    <x:row r="13">
      <x:c r="A13" s="166" t="str">
        <x:v>Retained posts accounted for</x:v>
      </x:c>
      <x:c r="B13" s="158" t="n">
        <x:v>22</x:v>
      </x:c>
      <x:c r="C13" s="158" t="n">
        <x:f>COUNTA('Post Coding'!$A$5:$A$26)</x:f>
        <x:v>22</x:v>
      </x:c>
      <x:c r="D13" s="158" t="str">
        <x:f>IF(B13=C13,"PASS","FAIL")</x:f>
        <x:v>PASS</x:v>
      </x:c>
      <x:c r="E13" s="100"/>
      <x:c r="F13" s="100"/>
    </x:row>
    <x:row r="14">
      <x:c r="A14" s="167" t="str">
        <x:v>Primary group counts reconcile</x:v>
      </x:c>
      <x:c r="B14" s="160" t="n">
        <x:v>22</x:v>
      </x:c>
      <x:c r="C14" s="160" t="n">
        <x:f>SUM('Candidate Lanes'!$B$5:$B$10)</x:f>
        <x:v>22</x:v>
      </x:c>
      <x:c r="D14" s="160" t="str">
        <x:f>IF(B14=C14,"PASS","FAIL")</x:f>
        <x:v>PASS</x:v>
      </x:c>
      <x:c r="E14" s="100"/>
      <x:c r="F14" s="100"/>
    </x:row>
    <x:row r="15">
      <x:c r="A15" s="167" t="str">
        <x:v>Pack treatment populated</x:v>
      </x:c>
      <x:c r="B15" s="160" t="n">
        <x:v>22</x:v>
      </x:c>
      <x:c r="C15" s="160" t="n">
        <x:f>COUNTA('Post Coding'!$E$5:$E$26)</x:f>
        <x:v>22</x:v>
      </x:c>
      <x:c r="D15" s="160" t="str">
        <x:f>IF(B15=C15,"PASS","FAIL")</x:f>
        <x:v>PASS</x:v>
      </x:c>
      <x:c r="E15" s="100"/>
      <x:c r="F15" s="100"/>
    </x:row>
    <x:row r="16">
      <x:c r="A16" s="167" t="str">
        <x:v>Core lane proposal count</x:v>
      </x:c>
      <x:c r="B16" s="160" t="n">
        <x:v>3</x:v>
      </x:c>
      <x:c r="C16" s="160" t="n">
        <x:f>COUNTIF('Candidate Lanes'!$J$5:$J$10,"Keep as core lane")</x:f>
        <x:v>3</x:v>
      </x:c>
      <x:c r="D16" s="160" t="str">
        <x:f>IF(B16=C16,"PASS","FAIL")</x:f>
        <x:v>PASS</x:v>
      </x:c>
      <x:c r="E16" s="100"/>
      <x:c r="F16" s="100"/>
    </x:row>
    <x:row r="17">
      <x:c r="A17" s="167" t="str">
        <x:v>Ambiguous lane-evidence posts</x:v>
      </x:c>
      <x:c r="B17" s="160" t="n">
        <x:v>1</x:v>
      </x:c>
      <x:c r="C17" s="160" t="n">
        <x:f>COUNTIF('Post Coding'!$C$5:$C$26,"Ambiguous lane evidence")</x:f>
        <x:v>1</x:v>
      </x:c>
      <x:c r="D17" s="160" t="str">
        <x:f>IF(B17=C17,"PASS","FAIL")</x:f>
        <x:v>PASS</x:v>
      </x:c>
      <x:c r="E17" s="100"/>
      <x:c r="F17" s="100"/>
    </x:row>
    <x:row r="18">
      <x:c r="A18" s="100"/>
      <x:c r="B18" s="100"/>
      <x:c r="C18" s="100"/>
      <x:c r="D18" s="100"/>
      <x:c r="E18" s="100"/>
      <x:c r="F18" s="100"/>
    </x:row>
    <x:row r="19">
      <x:c r="A19" s="165" t="str">
        <x:v>Limitations and use</x:v>
      </x:c>
      <x:c r="B19" s="165"/>
      <x:c r="C19" s="165"/>
      <x:c r="D19" s="165"/>
      <x:c r="E19" s="165"/>
      <x:c r="F19" s="165"/>
    </x:row>
    <x:row r="20" ht="36" customHeight="1">
      <x:c r="A20" s="122" t="str">
        <x:v>The 22-post purposive sample supports product design and concept validation, not a census of South African software-engineering careers.</x:v>
      </x:c>
      <x:c r="B20" s="122"/>
      <x:c r="C20" s="122"/>
      <x:c r="D20" s="122"/>
      <x:c r="E20" s="122"/>
      <x:c r="F20" s="122"/>
    </x:row>
    <x:row r="21" ht="36" customHeight="1">
      <x:c r="A21" s="168" t="str">
        <x:v>Primary assignments simplify overlapping roles for analysis. Full-stack, front-end and back-end responsibilities can coexist in one advert.</x:v>
      </x:c>
      <x:c r="B21" s="168"/>
      <x:c r="C21" s="168"/>
      <x:c r="D21" s="168"/>
      <x:c r="E21" s="168"/>
      <x:c r="F21" s="168"/>
    </x:row>
    <x:row r="22" ht="36" customHeight="1">
      <x:c r="A22" s="168" t="str">
        <x:v>Technology fields are explicit-only. Missing values mean the source did not explicitly support the term, not that the employer never uses it.</x:v>
      </x:c>
      <x:c r="B22" s="168"/>
      <x:c r="C22" s="168"/>
      <x:c r="D22" s="168"/>
      <x:c r="E22" s="168"/>
      <x:c r="F22" s="168"/>
    </x:row>
    <x:row r="23" ht="36" customHeight="1">
      <x:c r="A23" s="168" t="str">
        <x:v>The captured requirement paragraph is uneven: some rows contain strong responsibility evidence and others contain recruitment boilerplate.</x:v>
      </x:c>
      <x:c r="B23" s="168"/>
      <x:c r="C23" s="168"/>
      <x:c r="D23" s="168"/>
      <x:c r="E23" s="168"/>
      <x:c r="F23" s="168"/>
    </x:row>
    <x:row r="24" ht="36" customHeight="1">
      <x:c r="A24" s="114" t="str">
        <x:v>All proposed lanes remain subject to Lesedi's approval before pack drafting. The first golden-section pilot should use the strongest retained lane.</x:v>
      </x:c>
      <x:c r="B24" s="114"/>
      <x:c r="C24" s="114"/>
      <x:c r="D24" s="114"/>
      <x:c r="E24" s="114"/>
      <x:c r="F24" s="114"/>
    </x:row>
  </x:sheetData>
  <x:mergeCells>
    <x:mergeCell ref="A1:F1"/>
    <x:mergeCell ref="A2:F2"/>
    <x:mergeCell ref="A4:F4"/>
    <x:mergeCell ref="A11:F11"/>
    <x:mergeCell ref="A19:F19"/>
    <x:mergeCell ref="A20:F20"/>
    <x:mergeCell ref="A21:F21"/>
    <x:mergeCell ref="A22:F22"/>
    <x:mergeCell ref="A23:F23"/>
    <x:mergeCell ref="A24:F24"/>
  </x:mergeCells>
  <x:conditionalFormatting sqref="D13:D17">
    <x:cfRule type="containsText" dxfId="6" priority="1" operator="containsText" text="PASS"/>
    <x:cfRule type="containsText" dxfId="7" priority="2" operator="containsText" text="FAIL"/>
  </x:conditionalFormatting>
  <x:pageMargins left="0.7" right="0.7" top="0.75" bottom="0.75" header="0.3" footer="0.3"/>
</x:worksheet>
</file>
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worksheets/sheet5.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7dd274f9eac4a23" /></Relationships>
</file>

<file path=xl/workbook.xml><?xml version="1.0" encoding="utf-8"?>
<x:workbook xmlns:x="http://schemas.openxmlformats.org/spreadsheetml/2006/main">
  <x:sheets>
    <x:sheet xmlns:r="http://schemas.openxmlformats.org/officeDocument/2006/relationships" name="Executive Summary" sheetId="1" r:id="Rd2135b2a3e124732"/>
    <x:sheet xmlns:r="http://schemas.openxmlformats.org/officeDocument/2006/relationships" name="Methodology" sheetId="2" r:id="Ra4f4d67e58514f85"/>
    <x:sheet xmlns:r="http://schemas.openxmlformats.org/officeDocument/2006/relationships" name="SE Profile" sheetId="3" r:id="Rb87522a4f35048b9"/>
    <x:sheet xmlns:r="http://schemas.openxmlformats.org/officeDocument/2006/relationships" name="DA Profile" sheetId="4" r:id="Rb366e0404ddd41a3"/>
    <x:sheet xmlns:r="http://schemas.openxmlformats.org/officeDocument/2006/relationships" name="Cross-Track" sheetId="5" r:id="R04d01193878046b7"/>
    <x:sheet xmlns:r="http://schemas.openxmlformats.org/officeDocument/2006/relationships" name="Rubric Evidence" sheetId="6" r:id="R4e11d50dc9c043ef"/>
    <x:sheet xmlns:r="http://schemas.openxmlformats.org/officeDocument/2006/relationships" name="Skill Coding" sheetId="7" r:id="R98b0912f527142aa"/>
    <x:sheet xmlns:r="http://schemas.openxmlformats.org/officeDocument/2006/relationships" name="Qualitative Coding" sheetId="8" r:id="Rc6c0841425c243ae"/>
    <x:sheet xmlns:r="http://schemas.openxmlformats.org/officeDocument/2006/relationships" name="Requirement Coding" sheetId="9" r:id="R078b37bedda44729"/>
    <x:sheet xmlns:r="http://schemas.openxmlformats.org/officeDocument/2006/relationships" name="SE Source" sheetId="10" r:id="R09a125e82340497a"/>
    <x:sheet xmlns:r="http://schemas.openxmlformats.org/officeDocument/2006/relationships" name="DA Source" sheetId="11" r:id="R908a6bba998d417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9">
    <x:font>
      <x:sz val="11"/>
      <x:name val="Carlito"/>
    </x:font>
    <x:font>
      <x:b/>
      <x:sz val="11"/>
      <x:color rgb="FFFFFFFF"/>
      <x:name val="Carlito"/>
    </x:font>
    <x:font>
      <x:b/>
      <x:sz val="9"/>
      <x:color rgb="FFFFFFFF"/>
      <x:name val="Carlito"/>
    </x:font>
    <x:font>
      <x:sz val="9"/>
      <x:name val="Carlito"/>
    </x:font>
    <x:font>
      <x:b/>
      <x:sz val="18"/>
      <x:color rgb="FFFFFFFF"/>
      <x:name val="Carlito"/>
    </x:font>
    <x:font>
      <x:i/>
      <x:sz val="10"/>
      <x:color rgb="FF52606D"/>
      <x:name val="Carlito"/>
    </x:font>
    <x:font>
      <x:b/>
      <x:sz val="18"/>
      <x:color rgb="FF102A43"/>
      <x:name val="Carlito"/>
    </x:font>
    <x:font>
      <x:b/>
      <x:sz val="11"/>
      <x:color rgb="FF102A43"/>
      <x:name val="Carlito"/>
    </x:font>
    <x:font>
      <x:i/>
      <x:sz val="11"/>
      <x:color rgb="FF52606D"/>
      <x:name val="Carlito"/>
    </x:font>
  </x:fonts>
  <x:fills count="10">
    <x:fill>
      <x:patternFill patternType="none"/>
    </x:fill>
    <x:fill>
      <x:patternFill patternType="gray125"/>
    </x:fill>
    <x:fill>
      <x:patternFill patternType="solid">
        <x:fgColor rgb="FF102A43"/>
      </x:patternFill>
    </x:fill>
    <x:fill>
      <x:patternFill patternType="solid">
        <x:fgColor rgb="FFE8F1FA"/>
      </x:patternFill>
    </x:fill>
    <x:fill>
      <x:patternFill patternType="solid">
        <x:fgColor rgb="FF1F5A94"/>
      </x:patternFill>
    </x:fill>
    <x:fill>
      <x:patternFill patternType="solid">
        <x:fgColor rgb="FFB7791F"/>
      </x:patternFill>
    </x:fill>
    <x:fill>
      <x:patternFill patternType="solid">
        <x:fgColor rgb="FFFFF8E6"/>
      </x:patternFill>
    </x:fill>
    <x:fill>
      <x:patternFill patternType="solid">
        <x:fgColor rgb="FF6B46C1"/>
      </x:patternFill>
    </x:fill>
    <x:fill>
      <x:patternFill patternType="solid">
        <x:fgColor rgb="FF167D7F"/>
      </x:patternFill>
    </x:fill>
    <x:fill>
      <x:patternFill patternType="solid">
        <x:fgColor rgb="FFDFF3F2"/>
      </x:patternFill>
    </x:fill>
  </x:fills>
  <x:borders count="9">
    <x:border/>
    <x:border>
      <x:left style="thin">
        <x:color rgb="FFD9E2EC"/>
      </x:left>
      <x:right style="thin">
        <x:color rgb="FFD9E2EC"/>
      </x:right>
      <x:top style="thin">
        <x:color rgb="FFD9E2EC"/>
      </x:top>
      <x:bottom style="thin">
        <x:color rgb="FFD9E2EC"/>
      </x:bottom>
    </x:border>
    <x:border>
      <x:bottom style="thin">
        <x:color rgb="FFD9E2EC"/>
      </x:bottom>
    </x:border>
    <x:border>
      <x:top style="thin">
        <x:color rgb="FFD9E2EC"/>
      </x:top>
      <x:bottom style="thin">
        <x:color rgb="FFD9E2EC"/>
      </x:bottom>
    </x:border>
    <x:border>
      <x:left style="thin">
        <x:color rgb="FFD9E2EC"/>
      </x:left>
      <x:top style="thin">
        <x:color rgb="FFD9E2EC"/>
      </x:top>
    </x:border>
    <x:border>
      <x:top style="thin">
        <x:color rgb="FFD9E2EC"/>
      </x:top>
    </x:border>
    <x:border>
      <x:right style="thin">
        <x:color rgb="FFD9E2EC"/>
      </x:right>
      <x:top style="thin">
        <x:color rgb="FFD9E2EC"/>
      </x:top>
    </x:border>
    <x:border>
      <x:left style="thin">
        <x:color rgb="FFD9E2EC"/>
      </x:left>
      <x:bottom style="thin">
        <x:color rgb="FFD9E2EC"/>
      </x:bottom>
    </x:border>
    <x:border>
      <x:right style="thin">
        <x:color rgb="FFD9E2EC"/>
      </x:right>
      <x:bottom style="thin">
        <x:color rgb="FFD9E2EC"/>
      </x:bottom>
    </x:border>
  </x:borders>
  <x:cellStyleXfs count="1">
    <x:xf numFmtId="0" fontId="0" fillId="0" borderId="0"/>
  </x:cellStyleXfs>
  <x:cellXfs count="8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2" xfId="0" applyNumberFormat="1" applyFont="1" applyFill="1" applyBorder="1"/>
    <x:xf numFmtId="0" fontId="0" fillId="0" borderId="3" xfId="0" applyNumberFormat="1" applyFont="1" applyFill="1" applyBorder="1"/>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2" fillId="2" borderId="1" xfId="0" applyNumberFormat="1" applyFont="1" applyFill="1" applyBorder="1" applyAlignment="1">
      <x:alignment vertical="center" wrapText="1"/>
    </x:xf>
    <x:xf numFmtId="0" fontId="3" fillId="0" borderId="2" xfId="0" applyNumberFormat="1" applyFont="1" applyFill="1" applyBorder="1" applyAlignment="1">
      <x:alignment vertical="top"/>
    </x:xf>
    <x:xf numFmtId="0" fontId="3" fillId="0" borderId="3" xfId="0" applyNumberFormat="1" applyFont="1" applyFill="1" applyBorder="1" applyAlignment="1">
      <x:alignment vertical="top"/>
    </x:xf>
    <x:xf numFmtId="0" fontId="2" fillId="2" borderId="1"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vertical="center"/>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vertical="center"/>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vertical="center"/>
    </x:xf>
    <x:xf numFmtId="0" fontId="0" fillId="6" borderId="0" xfId="0" applyNumberFormat="1" applyFont="1" applyFill="1" applyBorder="1"/>
    <x:xf numFmtId="0" fontId="0" fillId="6" borderId="2" xfId="0" applyNumberFormat="1" applyFont="1" applyFill="1" applyBorder="1"/>
    <x:xf numFmtId="0" fontId="0" fillId="6" borderId="0" xfId="0" applyNumberFormat="1" applyFont="1" applyFill="1" applyBorder="1" applyAlignment="1">
      <x:alignment wrapText="1"/>
    </x:xf>
    <x:xf numFmtId="0" fontId="0" fillId="6" borderId="2" xfId="0" applyNumberFormat="1" applyFont="1" applyFill="1" applyBorder="1" applyAlignment="1">
      <x:alignment wrapText="1"/>
    </x:xf>
    <x:xf numFmtId="0" fontId="0" fillId="6" borderId="0" xfId="0" applyNumberFormat="1" applyFont="1" applyFill="1" applyBorder="1" applyAlignment="1">
      <x:alignment vertical="top" wrapText="1"/>
    </x:xf>
    <x:xf numFmtId="0" fontId="0" fillId="6" borderId="2" xfId="0" applyNumberFormat="1" applyFont="1" applyFill="1" applyBorder="1" applyAlignment="1">
      <x:alignment vertical="top" wrapText="1"/>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vertical="center"/>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vertical="center"/>
    </x:xf>
    <x:xf numFmtId="201" fontId="0" fillId="0" borderId="0" xfId="0" applyNumberFormat="1" applyFont="1" applyFill="1" applyBorder="1"/>
    <x:xf numFmtId="201" fontId="0" fillId="0" borderId="3" xfId="0" applyNumberFormat="1" applyFont="1" applyFill="1" applyBorder="1"/>
    <x:xf numFmtId="0" fontId="1" fillId="4" borderId="0" xfId="0" applyNumberFormat="1" applyFont="1" applyFill="1" applyBorder="1" applyAlignment="1">
      <x:alignment horizontal="center"/>
    </x:xf>
    <x:xf numFmtId="0" fontId="6" fillId="3" borderId="0" xfId="0" applyNumberFormat="1" applyFont="1" applyFill="1" applyBorder="1"/>
    <x:xf numFmtId="0" fontId="6" fillId="3" borderId="4" xfId="0" applyNumberFormat="1" applyFont="1" applyFill="1" applyBorder="1"/>
    <x:xf numFmtId="0" fontId="6" fillId="3" borderId="5" xfId="0" applyNumberFormat="1" applyFont="1" applyFill="1" applyBorder="1"/>
    <x:xf numFmtId="0" fontId="6" fillId="3" borderId="6" xfId="0" applyNumberFormat="1" applyFont="1" applyFill="1" applyBorder="1"/>
    <x:xf numFmtId="0" fontId="6" fillId="3" borderId="7" xfId="0" applyNumberFormat="1" applyFont="1" applyFill="1" applyBorder="1"/>
    <x:xf numFmtId="0" fontId="6" fillId="3" borderId="2" xfId="0" applyNumberFormat="1" applyFont="1" applyFill="1" applyBorder="1"/>
    <x:xf numFmtId="0" fontId="6" fillId="3" borderId="8" xfId="0" applyNumberFormat="1" applyFont="1" applyFill="1" applyBorder="1"/>
    <x:xf numFmtId="0" fontId="6" fillId="3" borderId="4" xfId="0" applyNumberFormat="1" applyFont="1" applyFill="1" applyBorder="1" applyAlignment="1">
      <x:alignment horizontal="center"/>
    </x:xf>
    <x:xf numFmtId="0" fontId="6" fillId="3" borderId="5" xfId="0" applyNumberFormat="1" applyFont="1" applyFill="1" applyBorder="1" applyAlignment="1">
      <x:alignment horizontal="center"/>
    </x:xf>
    <x:xf numFmtId="0" fontId="6" fillId="3" borderId="6" xfId="0" applyNumberFormat="1" applyFont="1" applyFill="1" applyBorder="1" applyAlignment="1">
      <x:alignment horizontal="center"/>
    </x:xf>
    <x:xf numFmtId="0" fontId="6" fillId="3" borderId="7" xfId="0" applyNumberFormat="1" applyFont="1" applyFill="1" applyBorder="1" applyAlignment="1">
      <x:alignment horizontal="center"/>
    </x:xf>
    <x:xf numFmtId="0" fontId="6" fillId="3" borderId="2" xfId="0" applyNumberFormat="1" applyFont="1" applyFill="1" applyBorder="1" applyAlignment="1">
      <x:alignment horizontal="center"/>
    </x:xf>
    <x:xf numFmtId="0" fontId="6" fillId="3" borderId="8" xfId="0" applyNumberFormat="1" applyFont="1" applyFill="1" applyBorder="1" applyAlignment="1">
      <x:alignment horizontal="center"/>
    </x:xf>
    <x:xf numFmtId="0" fontId="6" fillId="3" borderId="4" xfId="0" applyNumberFormat="1" applyFont="1" applyFill="1" applyBorder="1" applyAlignment="1">
      <x:alignment horizontal="center" vertical="center"/>
    </x:xf>
    <x:xf numFmtId="0" fontId="6" fillId="3" borderId="5" xfId="0" applyNumberFormat="1" applyFont="1" applyFill="1" applyBorder="1" applyAlignment="1">
      <x:alignment horizontal="center" vertical="center"/>
    </x:xf>
    <x:xf numFmtId="0" fontId="6" fillId="3" borderId="6" xfId="0" applyNumberFormat="1" applyFont="1" applyFill="1" applyBorder="1" applyAlignment="1">
      <x:alignment horizontal="center" vertical="center"/>
    </x:xf>
    <x:xf numFmtId="0" fontId="6" fillId="3" borderId="7" xfId="0" applyNumberFormat="1" applyFont="1" applyFill="1" applyBorder="1" applyAlignment="1">
      <x:alignment horizontal="center" vertical="center"/>
    </x:xf>
    <x:xf numFmtId="0" fontId="6" fillId="3" borderId="2" xfId="0" applyNumberFormat="1" applyFont="1" applyFill="1" applyBorder="1" applyAlignment="1">
      <x:alignment horizontal="center" vertical="center"/>
    </x:xf>
    <x:xf numFmtId="0" fontId="6" fillId="3" borderId="8" xfId="0" applyNumberFormat="1" applyFont="1" applyFill="1" applyBorder="1" applyAlignment="1">
      <x:alignment horizontal="center" vertical="center"/>
    </x:xf>
    <x:xf numFmtId="200" fontId="6" fillId="3" borderId="4" xfId="0" applyNumberFormat="1" applyFont="1" applyFill="1" applyBorder="1" applyAlignment="1">
      <x:alignment horizontal="center" vertical="center"/>
    </x:xf>
    <x:xf numFmtId="201" fontId="6" fillId="3" borderId="4" xfId="0" applyNumberFormat="1" applyFont="1" applyFill="1" applyBorder="1" applyAlignment="1">
      <x:alignment horizontal="center" vertical="center"/>
    </x:xf>
    <x:xf numFmtId="0" fontId="1" fillId="8" borderId="0" xfId="0" applyNumberFormat="1" applyFont="1" applyFill="1" applyBorder="1" applyAlignment="1">
      <x:alignment horizontal="center"/>
    </x:xf>
    <x:xf numFmtId="0" fontId="1" fillId="8" borderId="0" xfId="0" applyNumberFormat="1" applyFont="1" applyFill="1" applyBorder="1" applyAlignment="1">
      <x:alignment horizontal="center" vertical="center"/>
    </x:xf>
    <x:xf numFmtId="0" fontId="7" fillId="0" borderId="0" xfId="0" applyNumberFormat="1" applyFont="1" applyFill="1" applyBorder="1"/>
    <x:xf numFmtId="0" fontId="7" fillId="0" borderId="2" xfId="0" applyNumberFormat="1" applyFont="1" applyFill="1" applyBorder="1"/>
    <x:xf numFmtId="0" fontId="7" fillId="0" borderId="0" xfId="0" applyNumberFormat="1" applyFont="1" applyFill="1" applyBorder="1" applyAlignment="1">
      <x:alignment wrapText="1"/>
    </x:xf>
    <x:xf numFmtId="0" fontId="7" fillId="0" borderId="2" xfId="0" applyNumberFormat="1" applyFont="1" applyFill="1" applyBorder="1" applyAlignment="1">
      <x:alignment wrapText="1"/>
    </x:xf>
    <x:xf numFmtId="0" fontId="7" fillId="0" borderId="0" xfId="0" applyNumberFormat="1" applyFont="1" applyFill="1" applyBorder="1" applyAlignment="1">
      <x:alignment vertical="center" wrapText="1"/>
    </x:xf>
    <x:xf numFmtId="0" fontId="7" fillId="0" borderId="2"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2" xfId="0" applyNumberFormat="1" applyFont="1" applyFill="1" applyBorder="1" applyAlignment="1">
      <x:alignment vertical="center" wrapText="1"/>
    </x:xf>
    <x:xf numFmtId="0" fontId="0" fillId="6" borderId="0" xfId="0" applyNumberFormat="1" applyFont="1" applyFill="1" applyBorder="1" applyAlignment="1">
      <x:alignment vertical="center" wrapText="1"/>
    </x:xf>
    <x:xf numFmtId="0" fontId="0" fillId="6" borderId="2" xfId="0" applyNumberFormat="1" applyFont="1" applyFill="1" applyBorder="1" applyAlignment="1">
      <x:alignment vertical="center"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cellXfs>
  <x:cellStyles count="1">
    <x:cellStyle name="Normal" xfId="0"/>
  </x:cellStyles>
  <x:dxfs count="3">
    <x:dxf>
      <x:font>
        <x:b/>
        <x:color rgb="FF2F855A"/>
      </x:font>
      <x:fill>
        <x:patternFill patternType="solid">
          <x:bgColor rgb="FFE6FFFA"/>
        </x:patternFill>
      </x:fill>
    </x:dxf>
    <x:dxf>
      <x:font>
        <x:b/>
        <x:color rgb="FFC53030"/>
      </x:font>
      <x:fill>
        <x:patternFill patternType="solid">
          <x:bgColor rgb="FFFFF5F5"/>
        </x:patternFill>
      </x:fill>
    </x:dxf>
    <x:dxf>
      <x:font>
        <x:b/>
        <x:color rgb="FF6B46C1"/>
      </x:font>
      <x:fill>
        <x:patternFill patternType="solid">
          <x:bgColor rgb="FFF3E8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1b3cfe95d824a66" /><Relationship Type="http://schemas.openxmlformats.org/officeDocument/2006/relationships/theme" Target="/xl/theme/theme1.xml" Id="Rbbc0f2e4da274f92" /><Relationship Type="http://schemas.openxmlformats.org/officeDocument/2006/relationships/sharedStrings" Target="/xl/sharedStrings.xml" Id="Re4189c51af254c31" /><Relationship Type="http://schemas.openxmlformats.org/officeDocument/2006/relationships/worksheet" Target="/xl/worksheets/sheet1.xml" Id="Rd2135b2a3e124732" /><Relationship Type="http://schemas.openxmlformats.org/officeDocument/2006/relationships/worksheet" Target="/xl/worksheets/sheet2.xml" Id="Ra4f4d67e58514f85" /><Relationship Type="http://schemas.openxmlformats.org/officeDocument/2006/relationships/worksheet" Target="/xl/worksheets/sheet3.xml" Id="Rb87522a4f35048b9" /><Relationship Type="http://schemas.openxmlformats.org/officeDocument/2006/relationships/worksheet" Target="/xl/worksheets/sheet4.xml" Id="Rb366e0404ddd41a3" /><Relationship Type="http://schemas.openxmlformats.org/officeDocument/2006/relationships/worksheet" Target="/xl/worksheets/sheet5.xml" Id="R04d01193878046b7" /><Relationship Type="http://schemas.openxmlformats.org/officeDocument/2006/relationships/worksheet" Target="/xl/worksheets/sheet6.xml" Id="R4e11d50dc9c043ef" /><Relationship Type="http://schemas.openxmlformats.org/officeDocument/2006/relationships/worksheet" Target="/xl/worksheets/sheet7.xml" Id="R98b0912f527142aa" /><Relationship Type="http://schemas.openxmlformats.org/officeDocument/2006/relationships/worksheet" Target="/xl/worksheets/sheet8.xml" Id="Rc6c0841425c243ae" /><Relationship Type="http://schemas.openxmlformats.org/officeDocument/2006/relationships/worksheet" Target="/xl/worksheets/sheet9.xml" Id="R078b37bedda44729" /><Relationship Type="http://schemas.openxmlformats.org/officeDocument/2006/relationships/worksheet" Target="/xl/worksheets/sheet10.xml" Id="R09a125e82340497a" /><Relationship Type="http://schemas.openxmlformats.org/officeDocument/2006/relationships/worksheet" Target="/xl/worksheets/sheet11.xml" Id="R908a6bba998d4170" /></Relationships>
</file>

<file path=xl/drawings/_rels/drawing1.xml.rels>&#65279;<?xml version="1.0" encoding="utf-8"?><Relationships xmlns="http://schemas.openxmlformats.org/package/2006/relationships"><Relationship Type="http://schemas.openxmlformats.org/officeDocument/2006/relationships/chart" Target="/xl/drawings/charts/chart1.xml" Id="Raccba2bf022448aa" /></Relationships>
</file>

<file path=xl/drawings/_rels/drawing2.xml.rels>&#65279;<?xml version="1.0" encoding="utf-8"?><Relationships xmlns="http://schemas.openxmlformats.org/package/2006/relationships"><Relationship Type="http://schemas.openxmlformats.org/officeDocument/2006/relationships/chart" Target="/xl/drawings/charts/chart2.xml" Id="R7f5acac9f61c4db2" /><Relationship Type="http://schemas.openxmlformats.org/officeDocument/2006/relationships/chart" Target="/xl/drawings/charts/chart3.xml" Id="R0df34da96fed432c" /></Relationships>
</file>

<file path=xl/drawings/_rels/drawing3.xml.rels>&#65279;<?xml version="1.0" encoding="utf-8"?><Relationships xmlns="http://schemas.openxmlformats.org/package/2006/relationships"><Relationship Type="http://schemas.openxmlformats.org/officeDocument/2006/relationships/chart" Target="/xl/drawings/charts/chart4.xml" Id="R25b0b9d9243f4271" /><Relationship Type="http://schemas.openxmlformats.org/officeDocument/2006/relationships/chart" Target="/xl/drawings/charts/chart5.xml" Id="R76a06899314d422f" /><Relationship Type="http://schemas.openxmlformats.org/officeDocument/2006/relationships/chart" Target="/xl/drawings/charts/chart6.xml" Id="Rb342b4194c96485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SE language mentions (n=22)</a:t>
            </a:r>
          </a:p>
        </c:rich>
      </c:tx>
      <c:overlay val="0"/>
    </c:title>
    <c:plotArea>
      <c:barChart>
        <c:barDir val="col"/>
        <c:varyColors val="0"/>
        <c:ser>
          <c:idx val="0"/>
          <c:order val="0"/>
          <c:tx>
            <c:v>Count</c:v>
          </c:tx>
          <c:cat>
            <c:strRef>
              <c:f>'SE Profile'!$A$6:$A$15</c:f>
              <c:strCache>
                <c:ptCount val="0"/>
              </c:strCache>
            </c:strRef>
          </c:cat>
          <c:val>
            <c:numRef>
              <c:f>'SE Profile'!$B$6:$B$15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DA core-skill mentions (n=16)</a:t>
            </a:r>
          </a:p>
        </c:rich>
      </c:tx>
      <c:overlay val="0"/>
    </c:title>
    <c:plotArea>
      <c:barChart>
        <c:barDir val="col"/>
        <c:varyColors val="0"/>
        <c:ser>
          <c:idx val="0"/>
          <c:order val="0"/>
          <c:tx>
            <c:v>Count</c:v>
          </c:tx>
          <c:cat>
            <c:strRef>
              <c:f>'DA Profile'!$A$6:$A$12</c:f>
              <c:strCache>
                <c:ptCount val="0"/>
              </c:strCache>
            </c:strRef>
          </c:cat>
          <c:val>
            <c:numRef>
              <c:f>'DA Profile'!$B$6:$B$12</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DA reporting-tool mentions (n=16)</a:t>
            </a:r>
          </a:p>
        </c:rich>
      </c:tx>
      <c:overlay val="0"/>
    </c:title>
    <c:plotArea>
      <c:barChart>
        <c:barDir val="col"/>
        <c:varyColors val="0"/>
        <c:ser>
          <c:idx val="0"/>
          <c:order val="0"/>
          <c:tx>
            <c:v>Count</c:v>
          </c:tx>
          <c:cat>
            <c:strRef>
              <c:f>'DA Profile'!$F$6:$F$9</c:f>
              <c:strCache>
                <c:ptCount val="0"/>
              </c:strCache>
            </c:strRef>
          </c:cat>
          <c:val>
            <c:numRef>
              <c:f>'DA Profile'!$G$6:$G$9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Most common coded themes by track</a:t>
            </a:r>
          </a:p>
        </c:rich>
      </c:tx>
      <c:overlay val="0"/>
    </c:title>
    <c:plotArea>
      <c:barChart>
        <c:barDir val="col"/>
        <c:varyColors val="0"/>
        <c:ser>
          <c:idx val="0"/>
          <c:order val="0"/>
          <c:tx>
            <c:v>SE count</c:v>
          </c:tx>
          <c:spPr>
            <a:solidFill xmlns:a="http://schemas.openxmlformats.org/drawingml/2006/main">
              <a:srgbClr val="1F5A94"/>
            </a:solidFill>
          </c:spPr>
          <c:cat>
            <c:strRef>
              <c:f>'Cross-Track'!$A$13:$A$20</c:f>
              <c:strCache>
                <c:ptCount val="0"/>
              </c:strCache>
            </c:strRef>
          </c:cat>
          <c:val>
            <c:numRef>
              <c:f>'Cross-Track'!$B$13:$B$20</c:f>
              <c:numCache>
                <c:formatCode>0</c:formatCode>
                <c:ptCount val="0"/>
              </c:numCache>
            </c:numRef>
          </c:val>
        </c:ser>
        <c:ser>
          <c:idx val="1"/>
          <c:order val="1"/>
          <c:tx>
            <c:v>DA count</c:v>
          </c:tx>
          <c:spPr>
            <a:solidFill xmlns:a="http://schemas.openxmlformats.org/drawingml/2006/main">
              <a:srgbClr val="167D7F"/>
            </a:solidFill>
          </c:spPr>
          <c:cat>
            <c:strRef>
              <c:f>'Cross-Track'!$A$13:$A$20</c:f>
              <c:strCache>
                <c:ptCount val="0"/>
              </c:strCache>
            </c:strRef>
          </c:cat>
          <c:val>
            <c:numRef>
              <c:f>'Cross-Track'!$D$13:$D$20</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Qualification requirements</a:t>
            </a:r>
          </a:p>
        </c:rich>
      </c:tx>
      <c:overlay val="0"/>
    </c:title>
    <c:plotArea>
      <c:barChart>
        <c:barDir val="col"/>
        <c:varyColors val="0"/>
        <c:ser>
          <c:idx val="0"/>
          <c:order val="0"/>
          <c:tx>
            <c:v>SE count</c:v>
          </c:tx>
          <c:cat>
            <c:strRef>
              <c:f>'Cross-Track'!$A$5:$A$8</c:f>
              <c:strCache>
                <c:ptCount val="0"/>
              </c:strCache>
            </c:strRef>
          </c:cat>
          <c:val>
            <c:numRef>
              <c:f>'Cross-Track'!$B$5:$B$8</c:f>
              <c:numCache>
                <c:formatCode>0</c:formatCode>
                <c:ptCount val="0"/>
              </c:numCache>
            </c:numRef>
          </c:val>
        </c:ser>
        <c:ser>
          <c:idx val="1"/>
          <c:order val="1"/>
          <c:tx>
            <c:v>DA count</c:v>
          </c:tx>
          <c:cat>
            <c:strRef>
              <c:f>'Cross-Track'!$A$5:$A$8</c:f>
              <c:strCache>
                <c:ptCount val="0"/>
              </c:strCache>
            </c:strRef>
          </c:cat>
          <c:val>
            <c:numRef>
              <c:f>'Cross-Track'!$C$5:$C$8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Known work arrangements</a:t>
            </a:r>
          </a:p>
        </c:rich>
      </c:tx>
      <c:overlay val="0"/>
    </c:title>
    <c:plotArea>
      <c:barChart>
        <c:barDir val="col"/>
        <c:varyColors val="0"/>
        <c:ser>
          <c:idx val="0"/>
          <c:order val="0"/>
          <c:tx>
            <c:v>SE count (n=21)</c:v>
          </c:tx>
          <c:cat>
            <c:strRef>
              <c:f>'Cross-Track'!$F$5:$F$7</c:f>
              <c:strCache>
                <c:ptCount val="0"/>
              </c:strCache>
            </c:strRef>
          </c:cat>
          <c:val>
            <c:numRef>
              <c:f>'Cross-Track'!$G$5:$G$7</c:f>
              <c:numCache>
                <c:formatCode>0</c:formatCode>
                <c:ptCount val="0"/>
              </c:numCache>
            </c:numRef>
          </c:val>
        </c:ser>
        <c:ser>
          <c:idx val="1"/>
          <c:order val="1"/>
          <c:tx>
            <c:v>DA count (n=14)</c:v>
          </c:tx>
          <c:cat>
            <c:strRef>
              <c:f>'Cross-Track'!$F$5:$F$7</c:f>
              <c:strCache>
                <c:ptCount val="0"/>
              </c:strCache>
            </c:strRef>
          </c:cat>
          <c:val>
            <c:numRef>
              <c:f>'Cross-Track'!$H$5:$H$7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35</xdr:row>
      <xdr:rowOff>0</xdr:rowOff>
    </xdr:from>
    <xdr:to>
      <xdr:col>16</xdr:col>
      <xdr:colOff>0</xdr:colOff>
      <xdr:row>51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ccba2bf022448aa"/>
        </a:graphicData>
      </a:graphic>
    </xdr:graphicFrame>
    <xdr:clientData/>
  </xdr:twoCellAnchor>
</xdr:wsDr>
</file>

<file path=xl/drawings/drawing2.xml><?xml version="1.0" encoding="utf-8"?>
<xdr:wsDr xmlns:xdr="http://schemas.openxmlformats.org/drawingml/2006/spreadsheetDrawing">
  <xdr:twoCellAnchor>
    <xdr:from>
      <xdr:col>5</xdr:col>
      <xdr:colOff>0</xdr:colOff>
      <xdr:row>35</xdr:row>
      <xdr:rowOff>0</xdr:rowOff>
    </xdr:from>
    <xdr:to>
      <xdr:col>11</xdr:col>
      <xdr:colOff>0</xdr:colOff>
      <xdr:row>50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f5acac9f61c4db2"/>
        </a:graphicData>
      </a:graphic>
    </xdr:graphicFrame>
    <xdr:clientData/>
  </xdr:twoCellAnchor>
  <xdr:twoCellAnchor>
    <xdr:from>
      <xdr:col>11</xdr:col>
      <xdr:colOff>0</xdr:colOff>
      <xdr:row>35</xdr:row>
      <xdr:rowOff>0</xdr:rowOff>
    </xdr:from>
    <xdr:to>
      <xdr:col>16</xdr:col>
      <xdr:colOff>0</xdr:colOff>
      <xdr:row>50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df34da96fed432c"/>
        </a:graphicData>
      </a:graphic>
    </xdr:graphicFrame>
    <xdr:clientData/>
  </xdr:twoCellAnchor>
</xdr:wsDr>
</file>

<file path=xl/drawings/drawing3.xml><?xml version="1.0" encoding="utf-8"?>
<xdr:wsDr xmlns:xdr="http://schemas.openxmlformats.org/drawingml/2006/spreadsheetDrawing">
  <xdr:twoCellAnchor>
    <xdr:from>
      <xdr:col>6</xdr:col>
      <xdr:colOff>0</xdr:colOff>
      <xdr:row>11</xdr:row>
      <xdr:rowOff>0</xdr:rowOff>
    </xdr:from>
    <xdr:to>
      <xdr:col>14</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5b0b9d9243f4271"/>
        </a:graphicData>
      </a:graphic>
    </xdr:graphicFrame>
    <xdr:clientData/>
  </xdr:twoCellAnchor>
  <xdr:twoCellAnchor>
    <xdr:from>
      <xdr:col>0</xdr:col>
      <xdr:colOff>0</xdr:colOff>
      <xdr:row>30</xdr:row>
      <xdr:rowOff>0</xdr:rowOff>
    </xdr:from>
    <xdr:to>
      <xdr:col>7</xdr:col>
      <xdr:colOff>0</xdr:colOff>
      <xdr:row>46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6a06899314d422f"/>
        </a:graphicData>
      </a:graphic>
    </xdr:graphicFrame>
    <xdr:clientData/>
  </xdr:twoCellAnchor>
  <xdr:twoCellAnchor>
    <xdr:from>
      <xdr:col>7</xdr:col>
      <xdr:colOff>0</xdr:colOff>
      <xdr:row>30</xdr:row>
      <xdr:rowOff>0</xdr:rowOff>
    </xdr:from>
    <xdr:to>
      <xdr:col>14</xdr:col>
      <xdr:colOff>0</xdr:colOff>
      <xdr:row>46</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342b4194c96485f"/>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5f7e16e0b6894d32" /></Relationships>
</file>

<file path=xl/worksheets/_rels/sheet4.xml.rels>&#65279;<?xml version="1.0" encoding="utf-8"?><Relationships xmlns="http://schemas.openxmlformats.org/package/2006/relationships"><Relationship Type="http://schemas.openxmlformats.org/officeDocument/2006/relationships/drawing" Target="/xl/drawings/drawing2.xml" Id="R642a4725570f45b1" /></Relationships>
</file>

<file path=xl/worksheets/_rels/sheet5.xml.rels>&#65279;<?xml version="1.0" encoding="utf-8"?><Relationships xmlns="http://schemas.openxmlformats.org/package/2006/relationships"><Relationship Type="http://schemas.openxmlformats.org/officeDocument/2006/relationships/drawing" Target="/xl/drawings/drawing3.xml" Id="R9dc7f54104cc4b72"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18" hidden="0" customWidth="1"/>
    <x:col min="3" max="3" width="18" hidden="0" customWidth="1"/>
    <x:col min="4" max="4" width="24"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34" customHeight="1">
      <x:c r="A1" s="19" t="str">
        <x:v>SkillSignalZA Market Analysis V1</x:v>
      </x:c>
      <x:c r="B1" s="19"/>
      <x:c r="C1" s="19"/>
      <x:c r="D1" s="19"/>
      <x:c r="E1" s="19"/>
      <x:c r="F1" s="19"/>
      <x:c r="G1" s="19"/>
      <x:c r="H1" s="19"/>
      <x:c r="I1" s="19"/>
      <x:c r="J1" s="19"/>
      <x:c r="K1" s="19"/>
      <x:c r="L1" s="19"/>
      <x:c r="M1" s="19"/>
      <x:c r="N1" s="19"/>
    </x:row>
    <x:row r="2" ht="30" customHeight="1">
      <x:c r="A2" s="23" t="str">
        <x:v>South African entry-level Software Engineering and Data Analytics evidence • Phase 7</x:v>
      </x:c>
      <x:c r="B2" s="23"/>
      <x:c r="C2" s="23"/>
      <x:c r="D2" s="23"/>
      <x:c r="E2" s="23"/>
      <x:c r="F2" s="23"/>
      <x:c r="G2" s="23"/>
      <x:c r="H2" s="23"/>
      <x:c r="I2" s="23"/>
      <x:c r="J2" s="23"/>
      <x:c r="K2" s="23"/>
      <x:c r="L2" s="23"/>
      <x:c r="M2" s="23"/>
      <x:c r="N2" s="23"/>
    </x:row>
    <x:row r="4">
      <x:c r="A4" s="52" t="str">
        <x:v>Main sample</x:v>
      </x:c>
      <x:c r="B4" s="52"/>
      <x:c r="C4" s="52"/>
      <x:c r="E4" s="52" t="str">
        <x:v>SE: Git explicit</x:v>
      </x:c>
      <x:c r="F4" s="52"/>
      <x:c r="G4" s="52"/>
      <x:c r="I4" s="52" t="str">
        <x:v>DA: SQL explicit</x:v>
      </x:c>
      <x:c r="J4" s="52"/>
      <x:c r="K4" s="52"/>
      <x:c r="M4" s="52" t="str">
        <x:v>Portfolio requests</x:v>
      </x:c>
      <x:c r="N4" s="52"/>
    </x:row>
    <x:row r="5">
      <x:c r="A5" s="72" t="n">
        <x:f>'Methodology'!B7</x:f>
        <x:v>38</x:v>
      </x:c>
      <x:c r="B5" s="67"/>
      <x:c r="C5" s="68"/>
      <x:c r="E5" s="73" t="n">
        <x:f>COUNTIF('SE Source'!$N$2:$N$23,"Y")/'Methodology'!$B$5</x:f>
        <x:v>0.5</x:v>
      </x:c>
      <x:c r="F5" s="67"/>
      <x:c r="G5" s="68"/>
      <x:c r="I5" s="73" t="n">
        <x:f>COUNTIF('DA Source'!$N$2:$N$17,"Y")/'Methodology'!$B$6</x:f>
        <x:v>0.8125</x:v>
      </x:c>
      <x:c r="J5" s="67"/>
      <x:c r="K5" s="68"/>
      <x:c r="M5" s="73" t="n">
        <x:f>(COUNTIF('SE Source'!$P$2:$P$23,"Y")+COUNTIF('DA Source'!$P$2:$P$17,"Y"))/'Methodology'!$B$7</x:f>
        <x:v>0.10526315789473684</x:v>
      </x:c>
      <x:c r="N5" s="68"/>
    </x:row>
    <x:row r="6">
      <x:c r="A6" s="69"/>
      <x:c r="B6" s="70"/>
      <x:c r="C6" s="71"/>
      <x:c r="E6" s="69"/>
      <x:c r="F6" s="70"/>
      <x:c r="G6" s="71"/>
      <x:c r="I6" s="69"/>
      <x:c r="J6" s="70"/>
      <x:c r="K6" s="71"/>
      <x:c r="M6" s="69"/>
      <x:c r="N6" s="71"/>
    </x:row>
    <x:row r="8">
      <x:c r="A8" s="28" t="str">
        <x:v>Evidence-led conclusions</x:v>
      </x:c>
      <x:c r="B8" s="28"/>
      <x:c r="C8" s="28"/>
      <x:c r="D8" s="28"/>
      <x:c r="E8" s="28"/>
      <x:c r="F8" s="28"/>
      <x:c r="G8" s="28"/>
      <x:c r="H8" s="28"/>
      <x:c r="I8" s="28"/>
      <x:c r="J8" s="28"/>
      <x:c r="K8" s="28"/>
      <x:c r="L8" s="28"/>
      <x:c r="M8" s="28"/>
      <x:c r="N8" s="28"/>
    </x:row>
    <x:row r="9" ht="45" customHeight="1">
      <x:c r="A9" s="75" t="str">
        <x:v>1</x:v>
      </x:c>
      <x:c r="B9" s="80" t="str">
        <x:v>SE demand is broad, not a single-stack market.</x:v>
      </x:c>
      <x:c r="C9" s="80" t="str"/>
      <x:c r="D9" s="82" t="str">
        <x:v>C#, JavaScript and SQL each appear in 13/22 posts; .NET leads frameworks at 10/22.</x:v>
      </x:c>
      <x:c r="E9" s="82" t="str"/>
      <x:c r="F9" s="82" t="str"/>
      <x:c r="G9" s="82" t="str"/>
      <x:c r="H9" s="82" t="str"/>
      <x:c r="I9" s="82" t="str"/>
      <x:c r="J9" s="82" t="str"/>
      <x:c r="K9" s="82" t="str"/>
      <x:c r="L9" s="82" t="str"/>
      <x:c r="M9" s="82" t="str"/>
      <x:c r="N9" s="82" t="str"/>
    </x:row>
    <x:row r="10" ht="45" customHeight="1">
      <x:c r="A10" s="75" t="str">
        <x:v>2</x:v>
      </x:c>
      <x:c r="B10" s="80" t="str">
        <x:v>Git matters, but the absolute SE hard cap needs review.</x:v>
      </x:c>
      <x:c r="C10" s="80" t="str"/>
      <x:c r="D10" s="82" t="str">
        <x:v>Git/GitHub appears in 11/22 posts—material, but not universal.</x:v>
      </x:c>
      <x:c r="E10" s="82" t="str"/>
      <x:c r="F10" s="82" t="str"/>
      <x:c r="G10" s="82" t="str"/>
      <x:c r="H10" s="82" t="str"/>
      <x:c r="I10" s="82" t="str"/>
      <x:c r="J10" s="82" t="str"/>
      <x:c r="K10" s="82" t="str"/>
      <x:c r="L10" s="82" t="str"/>
      <x:c r="M10" s="82" t="str"/>
      <x:c r="N10" s="82" t="str"/>
    </x:row>
    <x:row r="11" ht="45" customHeight="1">
      <x:c r="A11" s="75" t="str">
        <x:v>3</x:v>
      </x:c>
      <x:c r="B11" s="80" t="str">
        <x:v>DA demand is concentrated around SQL and BI.</x:v>
      </x:c>
      <x:c r="C11" s="80" t="str"/>
      <x:c r="D11" s="82" t="str">
        <x:v>SQL and Power BI each appear in 13/16 posts; their co-occurrence appears in 11/16.</x:v>
      </x:c>
      <x:c r="E11" s="82" t="str"/>
      <x:c r="F11" s="82" t="str"/>
      <x:c r="G11" s="82" t="str"/>
      <x:c r="H11" s="82" t="str"/>
      <x:c r="I11" s="82" t="str"/>
      <x:c r="J11" s="82" t="str"/>
      <x:c r="K11" s="82" t="str"/>
      <x:c r="L11" s="82" t="str"/>
      <x:c r="M11" s="82" t="str"/>
      <x:c r="N11" s="82" t="str"/>
    </x:row>
    <x:row r="12" ht="45" customHeight="1">
      <x:c r="A12" s="75" t="str">
        <x:v>4</x:v>
      </x:c>
      <x:c r="B12" s="80" t="str">
        <x:v>Python is valuable rather than universal in DA.</x:v>
      </x:c>
      <x:c r="C12" s="80" t="str"/>
      <x:c r="D12" s="82" t="str">
        <x:v>Python appears in 8/16 posts, supporting its secondary-skill position.</x:v>
      </x:c>
      <x:c r="E12" s="82" t="str"/>
      <x:c r="F12" s="82" t="str"/>
      <x:c r="G12" s="82" t="str"/>
      <x:c r="H12" s="82" t="str"/>
      <x:c r="I12" s="82" t="str"/>
      <x:c r="J12" s="82" t="str"/>
      <x:c r="K12" s="82" t="str"/>
      <x:c r="L12" s="82" t="str"/>
      <x:c r="M12" s="82" t="str"/>
      <x:c r="N12" s="82" t="str"/>
    </x:row>
    <x:row r="13" ht="45" customHeight="1">
      <x:c r="A13" s="75" t="str">
        <x:v>5</x:v>
      </x:c>
      <x:c r="B13" s="80" t="str">
        <x:v>Formal qualifications are common but not universal.</x:v>
      </x:c>
      <x:c r="C13" s="80" t="str"/>
      <x:c r="D13" s="82" t="str">
        <x:v>A degree is required in 16/22 SE and 9/16 DA posts.</x:v>
      </x:c>
      <x:c r="E13" s="82" t="str"/>
      <x:c r="F13" s="82" t="str"/>
      <x:c r="G13" s="82" t="str"/>
      <x:c r="H13" s="82" t="str"/>
      <x:c r="I13" s="82" t="str"/>
      <x:c r="J13" s="82" t="str"/>
      <x:c r="K13" s="82" t="str"/>
      <x:c r="L13" s="82" t="str"/>
      <x:c r="M13" s="82" t="str"/>
      <x:c r="N13" s="82" t="str"/>
    </x:row>
    <x:row r="14" ht="45" customHeight="1">
      <x:c r="A14" s="75" t="str">
        <x:v>6</x:v>
      </x:c>
      <x:c r="B14" s="80" t="str">
        <x:v>Portfolio weights are the clearest challenged assumption.</x:v>
      </x:c>
      <x:c r="C14" s="80" t="str"/>
      <x:c r="D14" s="82" t="str">
        <x:v>Only 3/22 SE and 1/16 DA posts explicitly request portfolio or GitHub proof.</x:v>
      </x:c>
      <x:c r="E14" s="82" t="str"/>
      <x:c r="F14" s="82" t="str"/>
      <x:c r="G14" s="82" t="str"/>
      <x:c r="H14" s="82" t="str"/>
      <x:c r="I14" s="82" t="str"/>
      <x:c r="J14" s="82" t="str"/>
      <x:c r="K14" s="82" t="str"/>
      <x:c r="L14" s="82" t="str"/>
      <x:c r="M14" s="82" t="str"/>
      <x:c r="N14" s="82" t="str"/>
    </x:row>
    <x:row r="15" ht="45" customHeight="1">
      <x:c r="A15" s="75" t="str">
        <x:v>7</x:v>
      </x:c>
      <x:c r="B15" s="80" t="str">
        <x:v>Hybrid dominates known work arrangements.</x:v>
      </x:c>
      <x:c r="C15" s="80" t="str"/>
      <x:c r="D15" s="82" t="str">
        <x:v>Hybrid accounts for 14/21 known SE and 9/14 known DA arrangements.</x:v>
      </x:c>
      <x:c r="E15" s="82" t="str"/>
      <x:c r="F15" s="82" t="str"/>
      <x:c r="G15" s="82" t="str"/>
      <x:c r="H15" s="82" t="str"/>
      <x:c r="I15" s="82" t="str"/>
      <x:c r="J15" s="82" t="str"/>
      <x:c r="K15" s="82" t="str"/>
      <x:c r="L15" s="82" t="str"/>
      <x:c r="M15" s="82" t="str"/>
      <x:c r="N15" s="82" t="str"/>
    </x:row>
    <x:row r="16" ht="45" customHeight="1">
      <x:c r="A16" s="75" t="str">
        <x:v>8</x:v>
      </x:c>
      <x:c r="B16" s="81" t="str">
        <x:v>Behavioural evidence differs by track.</x:v>
      </x:c>
      <x:c r="C16" s="81" t="str"/>
      <x:c r="D16" s="83" t="str">
        <x:v>Collaboration leads SE coding (17/22); problem-solving leads DA (9/16), with detail and collaboration close behind (8/16 each).</x:v>
      </x:c>
      <x:c r="E16" s="83" t="str"/>
      <x:c r="F16" s="83" t="str"/>
      <x:c r="G16" s="83" t="str"/>
      <x:c r="H16" s="83" t="str"/>
      <x:c r="I16" s="83" t="str"/>
      <x:c r="J16" s="83" t="str"/>
      <x:c r="K16" s="83" t="str"/>
      <x:c r="L16" s="83" t="str"/>
      <x:c r="M16" s="83" t="str"/>
      <x:c r="N16" s="83" t="str"/>
    </x:row>
    <x:row r="18">
      <x:c r="A18" s="35" t="str">
        <x:v>Phase 8 decision queue</x:v>
      </x:c>
      <x:c r="B18" s="35"/>
      <x:c r="C18" s="35"/>
      <x:c r="D18" s="35"/>
      <x:c r="E18" s="35"/>
      <x:c r="F18" s="35"/>
      <x:c r="G18" s="35"/>
      <x:c r="H18" s="35"/>
      <x:c r="I18" s="35"/>
      <x:c r="J18" s="35"/>
      <x:c r="K18" s="35"/>
      <x:c r="L18" s="35"/>
      <x:c r="M18" s="35"/>
      <x:c r="N18" s="35"/>
    </x:row>
    <x:row r="19" ht="36" customHeight="1">
      <x:c r="A19" s="84" t="str">
        <x:v>1. Reconsider the SE Git hard cap: retain a strong signal, but test a penalty or threshold instead of an absolute ceiling.</x:v>
      </x:c>
      <x:c r="B19" s="84" t="str"/>
      <x:c r="C19" s="84" t="str"/>
      <x:c r="D19" s="84" t="str"/>
      <x:c r="E19" s="84" t="str"/>
      <x:c r="F19" s="84" t="str"/>
      <x:c r="G19" s="84" t="str"/>
      <x:c r="H19" s="84" t="str"/>
      <x:c r="I19" s="84" t="str"/>
      <x:c r="J19" s="84" t="str"/>
      <x:c r="K19" s="84" t="str"/>
      <x:c r="L19" s="84" t="str"/>
      <x:c r="M19" s="84" t="str"/>
      <x:c r="N19" s="84" t="str"/>
    </x:row>
    <x:row r="20" ht="36" customHeight="1">
      <x:c r="A20" s="84" t="str">
        <x:v>2. Keep DA SQL central; decide whether prevalence supports a hard cap or a steep but recoverable penalty.</x:v>
      </x:c>
      <x:c r="B20" s="84" t="str"/>
      <x:c r="C20" s="84" t="str"/>
      <x:c r="D20" s="84" t="str"/>
      <x:c r="E20" s="84" t="str"/>
      <x:c r="F20" s="84" t="str"/>
      <x:c r="G20" s="84" t="str"/>
      <x:c r="H20" s="84" t="str"/>
      <x:c r="I20" s="84" t="str"/>
      <x:c r="J20" s="84" t="str"/>
      <x:c r="K20" s="84" t="str"/>
      <x:c r="L20" s="84" t="str"/>
      <x:c r="M20" s="84" t="str"/>
      <x:c r="N20" s="84" t="str"/>
    </x:row>
    <x:row r="21" ht="36" customHeight="1">
      <x:c r="A21" s="84" t="str">
        <x:v>3. Reduce or reframe portfolio weights unless candidate testing demonstrates predictive value beyond explicit advert wording.</x:v>
      </x:c>
      <x:c r="B21" s="84" t="str"/>
      <x:c r="C21" s="84" t="str"/>
      <x:c r="D21" s="84" t="str"/>
      <x:c r="E21" s="84" t="str"/>
      <x:c r="F21" s="84" t="str"/>
      <x:c r="G21" s="84" t="str"/>
      <x:c r="H21" s="84" t="str"/>
      <x:c r="I21" s="84" t="str"/>
      <x:c r="J21" s="84" t="str"/>
      <x:c r="K21" s="84" t="str"/>
      <x:c r="L21" s="84" t="str"/>
      <x:c r="M21" s="84" t="str"/>
      <x:c r="N21" s="84" t="str"/>
    </x:row>
    <x:row r="22" ht="36" customHeight="1">
      <x:c r="A22" s="84" t="str">
        <x:v>4. Keep Power BI prominent while awarding equivalent BI tools meaningful credit.</x:v>
      </x:c>
      <x:c r="B22" s="84" t="str"/>
      <x:c r="C22" s="84" t="str"/>
      <x:c r="D22" s="84" t="str"/>
      <x:c r="E22" s="84" t="str"/>
      <x:c r="F22" s="84" t="str"/>
      <x:c r="G22" s="84" t="str"/>
      <x:c r="H22" s="84" t="str"/>
      <x:c r="I22" s="84" t="str"/>
      <x:c r="J22" s="84" t="str"/>
      <x:c r="K22" s="84" t="str"/>
      <x:c r="L22" s="84" t="str"/>
      <x:c r="M22" s="84" t="str"/>
      <x:c r="N22" s="84" t="str"/>
    </x:row>
    <x:row r="23" ht="36" customHeight="1">
      <x:c r="A23" s="85" t="str">
        <x:v>5. Separate market-validated criteria from product-judgment criteria such as CV structure, README quality and portfolio presentation.</x:v>
      </x:c>
      <x:c r="B23" s="85" t="str"/>
      <x:c r="C23" s="85" t="str"/>
      <x:c r="D23" s="85" t="str"/>
      <x:c r="E23" s="85" t="str"/>
      <x:c r="F23" s="85" t="str"/>
      <x:c r="G23" s="85" t="str"/>
      <x:c r="H23" s="85" t="str"/>
      <x:c r="I23" s="85" t="str"/>
      <x:c r="J23" s="85" t="str"/>
      <x:c r="K23" s="85" t="str"/>
      <x:c r="L23" s="85" t="str"/>
      <x:c r="M23" s="85" t="str"/>
      <x:c r="N23" s="85" t="str"/>
    </x:row>
    <x:row r="25">
      <x:c r="A25" s="88" t="str">
        <x:v>Read with: Methodology, track profiles, Cross-Track comparison, Rubric Evidence, and the auditable coding sheets.</x:v>
      </x:c>
      <x:c r="B25" s="88"/>
      <x:c r="C25" s="88"/>
      <x:c r="D25" s="88"/>
      <x:c r="E25" s="88"/>
      <x:c r="F25" s="88"/>
      <x:c r="G25" s="88"/>
      <x:c r="H25" s="88"/>
      <x:c r="I25" s="88"/>
      <x:c r="J25" s="88"/>
      <x:c r="K25" s="88"/>
      <x:c r="L25" s="88"/>
      <x:c r="M25" s="88"/>
      <x:c r="N25" s="88"/>
    </x:row>
  </x:sheetData>
  <x:mergeCells>
    <x:mergeCell ref="A1:N1"/>
    <x:mergeCell ref="A2:N2"/>
    <x:mergeCell ref="A4:C4"/>
    <x:mergeCell ref="A5:C6"/>
    <x:mergeCell ref="E4:G4"/>
    <x:mergeCell ref="E5:G6"/>
    <x:mergeCell ref="I4:K4"/>
    <x:mergeCell ref="I5:K6"/>
    <x:mergeCell ref="M4:N4"/>
    <x:mergeCell ref="M5:N6"/>
    <x:mergeCell ref="A8:N8"/>
    <x:mergeCell ref="B9:C9"/>
    <x:mergeCell ref="B10:C10"/>
    <x:mergeCell ref="B11:C11"/>
    <x:mergeCell ref="B12:C12"/>
    <x:mergeCell ref="B13:C13"/>
    <x:mergeCell ref="B14:C14"/>
    <x:mergeCell ref="B15:C15"/>
    <x:mergeCell ref="B16:C16"/>
    <x:mergeCell ref="D9:N9"/>
    <x:mergeCell ref="D10:N10"/>
    <x:mergeCell ref="D11:N11"/>
    <x:mergeCell ref="D12:N12"/>
    <x:mergeCell ref="D13:N13"/>
    <x:mergeCell ref="D14:N14"/>
    <x:mergeCell ref="D15:N15"/>
    <x:mergeCell ref="D16:N16"/>
    <x:mergeCell ref="A18:N18"/>
    <x:mergeCell ref="A19:N19"/>
    <x:mergeCell ref="A20:N20"/>
    <x:mergeCell ref="A21:N21"/>
    <x:mergeCell ref="A22:N22"/>
    <x:mergeCell ref="A23:N23"/>
    <x:mergeCell ref="A25:N2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58" hidden="0" customWidth="1"/>
    <x:col min="2" max="2" width="18"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4" customHeight="1">
      <x:c r="A1" s="19" t="str">
        <x:v>Phase 7 Market Analysis — Methodology</x:v>
      </x:c>
      <x:c r="B1" s="19"/>
      <x:c r="C1" s="19"/>
      <x:c r="D1" s="19"/>
      <x:c r="E1" s="19"/>
      <x:c r="F1" s="19"/>
      <x:c r="G1" s="19"/>
      <x:c r="H1" s="19"/>
    </x:row>
    <x:row r="2" ht="30" customHeight="1">
      <x:c r="A2" s="23" t="str">
        <x:v>Locked main sample and reproducible counting rules</x:v>
      </x:c>
      <x:c r="B2" s="23"/>
      <x:c r="C2" s="23"/>
      <x:c r="D2" s="23"/>
      <x:c r="E2" s="23"/>
      <x:c r="F2" s="23"/>
      <x:c r="G2" s="23"/>
      <x:c r="H2" s="23"/>
    </x:row>
    <x:row r="4">
      <x:c r="A4" s="5" t="str">
        <x:v>Scope metric</x:v>
      </x:c>
      <x:c r="B4" s="5" t="str">
        <x:v>Value</x:v>
      </x:c>
    </x:row>
    <x:row r="5">
      <x:c r="A5" s="8" t="str">
        <x:v>Software Engineering main sample</x:v>
      </x:c>
      <x:c r="B5" s="24" t="n">
        <x:v>22</x:v>
      </x:c>
    </x:row>
    <x:row r="6">
      <x:c r="A6" s="9" t="str">
        <x:v>Data Analytics main sample</x:v>
      </x:c>
      <x:c r="B6" s="25" t="n">
        <x:v>16</x:v>
      </x:c>
    </x:row>
    <x:row r="7">
      <x:c r="A7" s="9" t="str">
        <x:v>Combined records (not used for track-specific skill percentages)</x:v>
      </x:c>
      <x:c r="B7" s="25" t="n">
        <x:v>38</x:v>
      </x:c>
    </x:row>
    <x:row r="9">
      <x:c r="A9" s="28" t="str">
        <x:v>Counting and interpretation rules</x:v>
      </x:c>
      <x:c r="B9" s="28"/>
      <x:c r="C9" s="28"/>
      <x:c r="D9" s="28"/>
      <x:c r="E9" s="28"/>
      <x:c r="F9" s="28"/>
      <x:c r="G9" s="28"/>
      <x:c r="H9" s="28"/>
    </x:row>
    <x:row r="10" ht="31" customHeight="1">
      <x:c r="A10" s="32" t="str">
        <x:v>1. Main percentages use 22 SE or 16 DA posts; adjacent and excluded records do not enter main frequencies.</x:v>
      </x:c>
      <x:c r="B10" s="32" t="str"/>
      <x:c r="C10" s="32" t="str"/>
      <x:c r="D10" s="32" t="str"/>
      <x:c r="E10" s="32" t="str"/>
      <x:c r="F10" s="32" t="str"/>
      <x:c r="G10" s="32" t="str"/>
      <x:c r="H10" s="32" t="str"/>
    </x:row>
    <x:row r="11" ht="31" customHeight="1">
      <x:c r="A11" s="32" t="str">
        <x:v>2. Each named skill/tool counts at most once per post within its coding dimension.</x:v>
      </x:c>
      <x:c r="B11" s="32" t="str"/>
      <x:c r="C11" s="32" t="str"/>
      <x:c r="D11" s="32" t="str"/>
      <x:c r="E11" s="32" t="str"/>
      <x:c r="F11" s="32" t="str"/>
      <x:c r="G11" s="32" t="str"/>
      <x:c r="H11" s="32" t="str"/>
    </x:row>
    <x:row r="12" ht="31" customHeight="1">
      <x:c r="A12" s="32" t="str">
        <x:v>3. No parent language, tool, or competency is inferred from another technology.</x:v>
      </x:c>
      <x:c r="B12" s="32" t="str"/>
      <x:c r="C12" s="32" t="str"/>
      <x:c r="D12" s="32" t="str"/>
      <x:c r="E12" s="32" t="str"/>
      <x:c r="F12" s="32" t="str"/>
      <x:c r="G12" s="32" t="str"/>
      <x:c r="H12" s="32" t="str"/>
    </x:row>
    <x:row r="13" ht="31" customHeight="1">
      <x:c r="A13" s="32" t="str">
        <x:v>4. Counts and percentages are shown together, with the applicable denominator visible.</x:v>
      </x:c>
      <x:c r="B13" s="32" t="str"/>
      <x:c r="C13" s="32" t="str"/>
      <x:c r="D13" s="32" t="str"/>
      <x:c r="E13" s="32" t="str"/>
      <x:c r="F13" s="32" t="str"/>
      <x:c r="G13" s="32" t="str"/>
      <x:c r="H13" s="32" t="str"/>
    </x:row>
    <x:row r="14" ht="31" customHeight="1">
      <x:c r="A14" s="32" t="str">
        <x:v>5. Missing metadata is excluded only from that metric’s denominator.</x:v>
      </x:c>
      <x:c r="B14" s="32" t="str"/>
      <x:c r="C14" s="32" t="str"/>
      <x:c r="D14" s="32" t="str"/>
      <x:c r="E14" s="32" t="str"/>
      <x:c r="F14" s="32" t="str"/>
      <x:c r="G14" s="32" t="str"/>
      <x:c r="H14" s="32" t="str"/>
    </x:row>
    <x:row r="15" ht="31" customHeight="1">
      <x:c r="A15" s="32" t="str">
        <x:v>6. Soft skills and readiness phrases retain the original wording and may map to more than one documented theme.</x:v>
      </x:c>
      <x:c r="B15" s="32" t="str"/>
      <x:c r="C15" s="32" t="str"/>
      <x:c r="D15" s="32" t="str"/>
      <x:c r="E15" s="32" t="str"/>
      <x:c r="F15" s="32" t="str"/>
      <x:c r="G15" s="32" t="str"/>
      <x:c r="H15" s="32" t="str"/>
    </x:row>
    <x:row r="16" ht="31" customHeight="1">
      <x:c r="A16" s="32" t="str">
        <x:v>7. Required/preferred coding is assigned only when captured wording supports it; otherwise it remains unclear/not classified.</x:v>
      </x:c>
      <x:c r="B16" s="32" t="str"/>
      <x:c r="C16" s="32" t="str"/>
      <x:c r="D16" s="32" t="str"/>
      <x:c r="E16" s="32" t="str"/>
      <x:c r="F16" s="32" t="str"/>
      <x:c r="G16" s="32" t="str"/>
      <x:c r="H16" s="32" t="str"/>
    </x:row>
    <x:row r="17" ht="31" customHeight="1">
      <x:c r="A17" s="32" t="str">
        <x:v>8. Requirement Level in the source workbook is treated as the portfolio-request level, not as a blanket label for every skill.</x:v>
      </x:c>
      <x:c r="B17" s="32" t="str"/>
      <x:c r="C17" s="32" t="str"/>
      <x:c r="D17" s="32" t="str"/>
      <x:c r="E17" s="32" t="str"/>
      <x:c r="F17" s="32" t="str"/>
      <x:c r="G17" s="32" t="str"/>
      <x:c r="H17" s="32" t="str"/>
    </x:row>
    <x:row r="18" ht="31" customHeight="1">
      <x:c r="A18" s="16" t="str">
        <x:v>9. Market evidence is separated from interpretation; rubric weights and rules are not changed in Phase 7.</x:v>
      </x:c>
      <x:c r="B18" s="16" t="str"/>
      <x:c r="C18" s="16" t="str"/>
      <x:c r="D18" s="16" t="str"/>
      <x:c r="E18" s="16" t="str"/>
      <x:c r="F18" s="16" t="str"/>
      <x:c r="G18" s="16" t="str"/>
      <x:c r="H18" s="16" t="str"/>
    </x:row>
    <x:row r="20">
      <x:c r="A20" s="35" t="str">
        <x:v>Limitations that must travel with the findings</x:v>
      </x:c>
      <x:c r="B20" s="35"/>
      <x:c r="C20" s="35"/>
      <x:c r="D20" s="35"/>
      <x:c r="E20" s="35"/>
      <x:c r="F20" s="35"/>
      <x:c r="G20" s="35"/>
      <x:c r="H20" s="35"/>
    </x:row>
    <x:row r="21" ht="34" customHeight="1">
      <x:c r="A21" s="40" t="str">
        <x:v>1. Small purposive sample suitable for concept validation, not a census of the South African market.</x:v>
      </x:c>
      <x:c r="B21" s="40" t="str"/>
      <x:c r="C21" s="40" t="str"/>
      <x:c r="D21" s="40" t="str"/>
      <x:c r="E21" s="40" t="str"/>
      <x:c r="F21" s="40" t="str"/>
      <x:c r="G21" s="40" t="str"/>
      <x:c r="H21" s="40" t="str"/>
    </x:row>
    <x:row r="22" ht="34" customHeight="1">
      <x:c r="A22" s="40" t="str">
        <x:v>2. DA-010 is retained despite a Cape Town / Bangkok geography conflict.</x:v>
      </x:c>
      <x:c r="B22" s="40" t="str"/>
      <x:c r="C22" s="40" t="str"/>
      <x:c r="D22" s="40" t="str"/>
      <x:c r="E22" s="40" t="str"/>
      <x:c r="F22" s="40" t="str"/>
      <x:c r="G22" s="40" t="str"/>
      <x:c r="H22" s="40" t="str"/>
    </x:row>
    <x:row r="23" ht="34" customHeight="1">
      <x:c r="A23" s="40" t="str">
        <x:v>3. SE-002, DA-020 and DA-023 have unavailable work-type data; DA-023 also has an unavailable posting date.</x:v>
      </x:c>
      <x:c r="B23" s="40" t="str"/>
      <x:c r="C23" s="40" t="str"/>
      <x:c r="D23" s="40" t="str"/>
      <x:c r="E23" s="40" t="str"/>
      <x:c r="F23" s="40" t="str"/>
      <x:c r="G23" s="40" t="str"/>
      <x:c r="H23" s="40" t="str"/>
    </x:row>
    <x:row r="24" ht="34" customHeight="1">
      <x:c r="A24" s="40" t="str">
        <x:v>4. Required-versus-preferred skill coding is conservative and uses only captured wording; uncaptured context remains unclassified.</x:v>
      </x:c>
      <x:c r="B24" s="40" t="str"/>
      <x:c r="C24" s="40" t="str"/>
      <x:c r="D24" s="40" t="str"/>
      <x:c r="E24" s="40" t="str"/>
      <x:c r="F24" s="40" t="str"/>
      <x:c r="G24" s="40" t="str"/>
      <x:c r="H24" s="40" t="str"/>
    </x:row>
    <x:row r="25" ht="34" customHeight="1">
      <x:c r="A25" s="41" t="str">
        <x:v>5. Job-post wording cannot directly validate CV structure, README quality, project presentation, or portfolio accessibility.</x:v>
      </x:c>
      <x:c r="B25" s="41" t="str"/>
      <x:c r="C25" s="41" t="str"/>
      <x:c r="D25" s="41" t="str"/>
      <x:c r="E25" s="41" t="str"/>
      <x:c r="F25" s="41" t="str"/>
      <x:c r="G25" s="41" t="str"/>
      <x:c r="H25" s="41" t="str"/>
    </x:row>
  </x:sheetData>
  <x:mergeCells>
    <x:mergeCell ref="A1:H1"/>
    <x:mergeCell ref="A2:H2"/>
    <x:mergeCell ref="A9:H9"/>
    <x:mergeCell ref="A10:H10"/>
    <x:mergeCell ref="A11:H11"/>
    <x:mergeCell ref="A12:H12"/>
    <x:mergeCell ref="A13:H13"/>
    <x:mergeCell ref="A14:H14"/>
    <x:mergeCell ref="A15:H15"/>
    <x:mergeCell ref="A16:H16"/>
    <x:mergeCell ref="A17:H17"/>
    <x:mergeCell ref="A18:H18"/>
    <x:mergeCell ref="A20:H20"/>
    <x:mergeCell ref="A21:H21"/>
    <x:mergeCell ref="A22:H22"/>
    <x:mergeCell ref="A23:H23"/>
    <x:mergeCell ref="A24:H24"/>
    <x:mergeCell ref="A25:H25"/>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3" hidden="0" customWidth="1"/>
    <x:col min="2" max="2" width="14" hidden="0" customWidth="1"/>
    <x:col min="3" max="3" width="14" hidden="0" customWidth="1"/>
    <x:col min="4" max="4" width="30" hidden="0" customWidth="1"/>
    <x:col min="5" max="5" width="3" hidden="0" customWidth="1"/>
    <x:col min="6" max="6" width="26" hidden="0" customWidth="1"/>
    <x:col min="7" max="7" width="14" hidden="0" customWidth="1"/>
    <x:col min="8" max="8" width="14" hidden="0" customWidth="1"/>
    <x:col min="9" max="9" width="14" hidden="0" customWidth="1"/>
    <x:col min="10" max="10" width="3" hidden="0" customWidth="1"/>
    <x:col min="11" max="11" width="25" hidden="0" customWidth="1"/>
    <x:col min="12" max="12" width="14" hidden="0" customWidth="1"/>
    <x:col min="13" max="13" width="14" hidden="0" customWidth="1"/>
    <x:col min="14" max="14" width="14" hidden="0" customWidth="1"/>
    <x:col min="15" max="15" width="12" hidden="0" customWidth="1"/>
    <x:col min="16" max="16" width="12" hidden="0" customWidth="1"/>
  </x:cols>
  <x:sheetData>
    <x:row r="1" ht="34" customHeight="1">
      <x:c r="A1" s="19" t="str">
        <x:v>Software Engineering Market Profile</x:v>
      </x:c>
      <x:c r="B1" s="19"/>
      <x:c r="C1" s="19"/>
      <x:c r="D1" s="19"/>
      <x:c r="E1" s="19"/>
      <x:c r="F1" s="19"/>
      <x:c r="G1" s="19"/>
      <x:c r="H1" s="19"/>
      <x:c r="I1" s="19"/>
      <x:c r="J1" s="19"/>
      <x:c r="K1" s="19"/>
      <x:c r="L1" s="19"/>
      <x:c r="M1" s="19"/>
      <x:c r="N1" s="19"/>
      <x:c r="O1" s="19"/>
      <x:c r="P1" s="19"/>
    </x:row>
    <x:row r="2" ht="30" customHeight="1">
      <x:c r="A2" s="23" t="str">
        <x:v>Main sample: 22 entry-level-accessible posts</x:v>
      </x:c>
      <x:c r="B2" s="23"/>
      <x:c r="C2" s="23"/>
      <x:c r="D2" s="23"/>
      <x:c r="E2" s="23"/>
      <x:c r="F2" s="23"/>
      <x:c r="G2" s="23"/>
      <x:c r="H2" s="23"/>
      <x:c r="I2" s="23"/>
      <x:c r="J2" s="23"/>
      <x:c r="K2" s="23"/>
      <x:c r="L2" s="23"/>
      <x:c r="M2" s="23"/>
      <x:c r="N2" s="23"/>
      <x:c r="O2" s="23"/>
      <x:c r="P2" s="23"/>
    </x:row>
    <x:row r="4">
      <x:c r="A4" s="28" t="str">
        <x:v>Programming languages</x:v>
      </x:c>
      <x:c r="B4" s="28"/>
      <x:c r="C4" s="28"/>
      <x:c r="D4" s="28"/>
      <x:c r="F4" s="28" t="str">
        <x:v>Frameworks and libraries</x:v>
      </x:c>
      <x:c r="G4" s="28"/>
      <x:c r="H4" s="28"/>
      <x:c r="I4" s="28"/>
      <x:c r="K4" s="28" t="str">
        <x:v>Tools and platforms</x:v>
      </x:c>
      <x:c r="L4" s="28"/>
      <x:c r="M4" s="28"/>
      <x:c r="N4" s="28"/>
    </x:row>
    <x:row r="5">
      <x:c r="A5" s="5" t="str">
        <x:v>Item</x:v>
      </x:c>
      <x:c r="B5" s="5" t="str">
        <x:v>Count</x:v>
      </x:c>
      <x:c r="C5" s="5" t="str">
        <x:v>Denominator</x:v>
      </x:c>
      <x:c r="D5" s="5" t="str">
        <x:v>Percentage</x:v>
      </x:c>
      <x:c r="F5" s="5" t="str">
        <x:v>Item</x:v>
      </x:c>
      <x:c r="G5" s="5" t="str">
        <x:v>Count</x:v>
      </x:c>
      <x:c r="H5" s="5" t="str">
        <x:v>Denominator</x:v>
      </x:c>
      <x:c r="I5" s="5" t="str">
        <x:v>Percentage</x:v>
      </x:c>
      <x:c r="K5" s="5" t="str">
        <x:v>Item</x:v>
      </x:c>
      <x:c r="L5" s="5" t="str">
        <x:v>Count</x:v>
      </x:c>
      <x:c r="M5" s="5" t="str">
        <x:v>Denominator</x:v>
      </x:c>
      <x:c r="N5" s="5" t="str">
        <x:v>Percentage</x:v>
      </x:c>
    </x:row>
    <x:row r="6">
      <x:c r="A6" s="8" t="str">
        <x:v>C#</x:v>
      </x:c>
      <x:c r="B6" s="24" t="n">
        <x:f>COUNTIFS('Skill Coding'!$A$2:$A$300,"SE",'Skill Coding'!$C$2:$C$300,"languages",'Skill Coding'!$D$2:$D$300,A6)</x:f>
        <x:v>13</x:v>
      </x:c>
      <x:c r="C6" s="24" t="n">
        <x:f>'Methodology'!$B$5</x:f>
        <x:v>22</x:v>
      </x:c>
      <x:c r="D6" s="42" t="n">
        <x:f>B6/C6</x:f>
        <x:v>0.5909090909090909</x:v>
      </x:c>
      <x:c r="F6" s="8" t="str">
        <x:v>.NET</x:v>
      </x:c>
      <x:c r="G6" s="24" t="n">
        <x:f>COUNTIFS('Skill Coding'!$A$2:$A$300,"SE",'Skill Coding'!$C$2:$C$300,"frameworks",'Skill Coding'!$D$2:$D$300,F6)</x:f>
        <x:v>10</x:v>
      </x:c>
      <x:c r="H6" s="24" t="n">
        <x:f>'Methodology'!$B$5</x:f>
        <x:v>22</x:v>
      </x:c>
      <x:c r="I6" s="42" t="n">
        <x:f>G6/H6</x:f>
        <x:v>0.45454545454545453</x:v>
      </x:c>
      <x:c r="K6" s="8" t="str">
        <x:v>Git/GitHub</x:v>
      </x:c>
      <x:c r="L6" s="24" t="n">
        <x:f>COUNTIFS('Skill Coding'!$A$2:$A$300,"SE",'Skill Coding'!$C$2:$C$300,"tools",'Skill Coding'!$D$2:$D$300,K6)</x:f>
        <x:v>11</x:v>
      </x:c>
      <x:c r="M6" s="24" t="n">
        <x:f>'Methodology'!$B$5</x:f>
        <x:v>22</x:v>
      </x:c>
      <x:c r="N6" s="42" t="n">
        <x:f>L6/M6</x:f>
        <x:v>0.5</x:v>
      </x:c>
    </x:row>
    <x:row r="7">
      <x:c r="A7" s="9" t="str">
        <x:v>JavaScript</x:v>
      </x:c>
      <x:c r="B7" s="25" t="n">
        <x:f>COUNTIFS('Skill Coding'!$A$2:$A$300,"SE",'Skill Coding'!$C$2:$C$300,"languages",'Skill Coding'!$D$2:$D$300,A7)</x:f>
        <x:v>13</x:v>
      </x:c>
      <x:c r="C7" s="25" t="n">
        <x:f>'Methodology'!$B$5</x:f>
        <x:v>22</x:v>
      </x:c>
      <x:c r="D7" s="43" t="n">
        <x:f>B7/C7</x:f>
        <x:v>0.5909090909090909</x:v>
      </x:c>
      <x:c r="F7" s="9" t="str">
        <x:v>React</x:v>
      </x:c>
      <x:c r="G7" s="25" t="n">
        <x:f>COUNTIFS('Skill Coding'!$A$2:$A$300,"SE",'Skill Coding'!$C$2:$C$300,"frameworks",'Skill Coding'!$D$2:$D$300,F7)</x:f>
        <x:v>7</x:v>
      </x:c>
      <x:c r="H7" s="25" t="n">
        <x:f>'Methodology'!$B$5</x:f>
        <x:v>22</x:v>
      </x:c>
      <x:c r="I7" s="43" t="n">
        <x:f>G7/H7</x:f>
        <x:v>0.3181818181818182</x:v>
      </x:c>
      <x:c r="K7" s="9" t="str">
        <x:v>Azure</x:v>
      </x:c>
      <x:c r="L7" s="25" t="n">
        <x:f>COUNTIFS('Skill Coding'!$A$2:$A$300,"SE",'Skill Coding'!$C$2:$C$300,"tools",'Skill Coding'!$D$2:$D$300,K7)</x:f>
        <x:v>6</x:v>
      </x:c>
      <x:c r="M7" s="25" t="n">
        <x:f>'Methodology'!$B$5</x:f>
        <x:v>22</x:v>
      </x:c>
      <x:c r="N7" s="43" t="n">
        <x:f>L7/M7</x:f>
        <x:v>0.2727272727272727</x:v>
      </x:c>
    </x:row>
    <x:row r="8">
      <x:c r="A8" s="9" t="str">
        <x:v>SQL</x:v>
      </x:c>
      <x:c r="B8" s="25" t="n">
        <x:f>COUNTIFS('Skill Coding'!$A$2:$A$300,"SE",'Skill Coding'!$C$2:$C$300,"languages",'Skill Coding'!$D$2:$D$300,A8)</x:f>
        <x:v>13</x:v>
      </x:c>
      <x:c r="C8" s="25" t="n">
        <x:f>'Methodology'!$B$5</x:f>
        <x:v>22</x:v>
      </x:c>
      <x:c r="D8" s="43" t="n">
        <x:f>B8/C8</x:f>
        <x:v>0.5909090909090909</x:v>
      </x:c>
      <x:c r="F8" s="9" t="str">
        <x:v>Angular</x:v>
      </x:c>
      <x:c r="G8" s="25" t="n">
        <x:f>COUNTIFS('Skill Coding'!$A$2:$A$300,"SE",'Skill Coding'!$C$2:$C$300,"frameworks",'Skill Coding'!$D$2:$D$300,F8)</x:f>
        <x:v>4</x:v>
      </x:c>
      <x:c r="H8" s="25" t="n">
        <x:f>'Methodology'!$B$5</x:f>
        <x:v>22</x:v>
      </x:c>
      <x:c r="I8" s="43" t="n">
        <x:f>G8/H8</x:f>
        <x:v>0.18181818181818182</x:v>
      </x:c>
      <x:c r="K8" s="9" t="str">
        <x:v>SQL Server</x:v>
      </x:c>
      <x:c r="L8" s="25" t="n">
        <x:f>COUNTIFS('Skill Coding'!$A$2:$A$300,"SE",'Skill Coding'!$C$2:$C$300,"tools",'Skill Coding'!$D$2:$D$300,K8)</x:f>
        <x:v>5</x:v>
      </x:c>
      <x:c r="M8" s="25" t="n">
        <x:f>'Methodology'!$B$5</x:f>
        <x:v>22</x:v>
      </x:c>
      <x:c r="N8" s="43" t="n">
        <x:f>L8/M8</x:f>
        <x:v>0.22727272727272727</x:v>
      </x:c>
    </x:row>
    <x:row r="9">
      <x:c r="A9" s="9" t="str">
        <x:v>Java</x:v>
      </x:c>
      <x:c r="B9" s="25" t="n">
        <x:f>COUNTIFS('Skill Coding'!$A$2:$A$300,"SE",'Skill Coding'!$C$2:$C$300,"languages",'Skill Coding'!$D$2:$D$300,A9)</x:f>
        <x:v>10</x:v>
      </x:c>
      <x:c r="C9" s="25" t="n">
        <x:f>'Methodology'!$B$5</x:f>
        <x:v>22</x:v>
      </x:c>
      <x:c r="D9" s="43" t="n">
        <x:f>B9/C9</x:f>
        <x:v>0.45454545454545453</x:v>
      </x:c>
      <x:c r="F9" s="9" t="str">
        <x:v>Django</x:v>
      </x:c>
      <x:c r="G9" s="25" t="n">
        <x:f>COUNTIFS('Skill Coding'!$A$2:$A$300,"SE",'Skill Coding'!$C$2:$C$300,"frameworks",'Skill Coding'!$D$2:$D$300,F9)</x:f>
        <x:v>2</x:v>
      </x:c>
      <x:c r="H9" s="25" t="n">
        <x:f>'Methodology'!$B$5</x:f>
        <x:v>22</x:v>
      </x:c>
      <x:c r="I9" s="43" t="n">
        <x:f>G9/H9</x:f>
        <x:v>0.09090909090909091</x:v>
      </x:c>
      <x:c r="K9" s="9" t="str">
        <x:v>AWS</x:v>
      </x:c>
      <x:c r="L9" s="25" t="n">
        <x:f>COUNTIFS('Skill Coding'!$A$2:$A$300,"SE",'Skill Coding'!$C$2:$C$300,"tools",'Skill Coding'!$D$2:$D$300,K9)</x:f>
        <x:v>4</x:v>
      </x:c>
      <x:c r="M9" s="25" t="n">
        <x:f>'Methodology'!$B$5</x:f>
        <x:v>22</x:v>
      </x:c>
      <x:c r="N9" s="43" t="n">
        <x:f>L9/M9</x:f>
        <x:v>0.18181818181818182</x:v>
      </x:c>
    </x:row>
    <x:row r="10">
      <x:c r="A10" s="9" t="str">
        <x:v>HTML/CSS</x:v>
      </x:c>
      <x:c r="B10" s="25" t="n">
        <x:f>COUNTIFS('Skill Coding'!$A$2:$A$300,"SE",'Skill Coding'!$C$2:$C$300,"languages",'Skill Coding'!$D$2:$D$300,A10)</x:f>
        <x:v>9</x:v>
      </x:c>
      <x:c r="C10" s="25" t="n">
        <x:f>'Methodology'!$B$5</x:f>
        <x:v>22</x:v>
      </x:c>
      <x:c r="D10" s="43" t="n">
        <x:f>B10/C10</x:f>
        <x:v>0.4090909090909091</x:v>
      </x:c>
      <x:c r="F10" s="9" t="str">
        <x:v>Hibernate</x:v>
      </x:c>
      <x:c r="G10" s="25" t="n">
        <x:f>COUNTIFS('Skill Coding'!$A$2:$A$300,"SE",'Skill Coding'!$C$2:$C$300,"frameworks",'Skill Coding'!$D$2:$D$300,F10)</x:f>
        <x:v>1</x:v>
      </x:c>
      <x:c r="H10" s="25" t="n">
        <x:f>'Methodology'!$B$5</x:f>
        <x:v>22</x:v>
      </x:c>
      <x:c r="I10" s="43" t="n">
        <x:f>G10/H10</x:f>
        <x:v>0.045454545454545456</x:v>
      </x:c>
      <x:c r="K10" s="9" t="str">
        <x:v>Linux</x:v>
      </x:c>
      <x:c r="L10" s="25" t="n">
        <x:f>COUNTIFS('Skill Coding'!$A$2:$A$300,"SE",'Skill Coding'!$C$2:$C$300,"tools",'Skill Coding'!$D$2:$D$300,K10)</x:f>
        <x:v>3</x:v>
      </x:c>
      <x:c r="M10" s="25" t="n">
        <x:f>'Methodology'!$B$5</x:f>
        <x:v>22</x:v>
      </x:c>
      <x:c r="N10" s="43" t="n">
        <x:f>L10/M10</x:f>
        <x:v>0.13636363636363635</x:v>
      </x:c>
    </x:row>
    <x:row r="11">
      <x:c r="A11" s="9" t="str">
        <x:v>Python</x:v>
      </x:c>
      <x:c r="B11" s="25" t="n">
        <x:f>COUNTIFS('Skill Coding'!$A$2:$A$300,"SE",'Skill Coding'!$C$2:$C$300,"languages",'Skill Coding'!$D$2:$D$300,A11)</x:f>
        <x:v>9</x:v>
      </x:c>
      <x:c r="C11" s="25" t="n">
        <x:f>'Methodology'!$B$5</x:f>
        <x:v>22</x:v>
      </x:c>
      <x:c r="D11" s="43" t="n">
        <x:f>B11/C11</x:f>
        <x:v>0.4090909090909091</x:v>
      </x:c>
      <x:c r="F11" s="9" t="str">
        <x:v>Spring</x:v>
      </x:c>
      <x:c r="G11" s="25" t="n">
        <x:f>COUNTIFS('Skill Coding'!$A$2:$A$300,"SE",'Skill Coding'!$C$2:$C$300,"frameworks",'Skill Coding'!$D$2:$D$300,F11)</x:f>
        <x:v>1</x:v>
      </x:c>
      <x:c r="H11" s="25" t="n">
        <x:f>'Methodology'!$B$5</x:f>
        <x:v>22</x:v>
      </x:c>
      <x:c r="I11" s="43" t="n">
        <x:f>G11/H11</x:f>
        <x:v>0.045454545454545456</x:v>
      </x:c>
      <x:c r="K11" s="9" t="str">
        <x:v>MySQL</x:v>
      </x:c>
      <x:c r="L11" s="25" t="n">
        <x:f>COUNTIFS('Skill Coding'!$A$2:$A$300,"SE",'Skill Coding'!$C$2:$C$300,"tools",'Skill Coding'!$D$2:$D$300,K11)</x:f>
        <x:v>3</x:v>
      </x:c>
      <x:c r="M11" s="25" t="n">
        <x:f>'Methodology'!$B$5</x:f>
        <x:v>22</x:v>
      </x:c>
      <x:c r="N11" s="43" t="n">
        <x:f>L11/M11</x:f>
        <x:v>0.13636363636363635</x:v>
      </x:c>
    </x:row>
    <x:row r="12">
      <x:c r="A12" s="9" t="str">
        <x:v>TypeScript</x:v>
      </x:c>
      <x:c r="B12" s="25" t="n">
        <x:f>COUNTIFS('Skill Coding'!$A$2:$A$300,"SE",'Skill Coding'!$C$2:$C$300,"languages",'Skill Coding'!$D$2:$D$300,A12)</x:f>
        <x:v>4</x:v>
      </x:c>
      <x:c r="C12" s="25" t="n">
        <x:f>'Methodology'!$B$5</x:f>
        <x:v>22</x:v>
      </x:c>
      <x:c r="D12" s="43" t="n">
        <x:f>B12/C12</x:f>
        <x:v>0.18181818181818182</x:v>
      </x:c>
      <x:c r="F12" s="9" t="str">
        <x:v>Vue</x:v>
      </x:c>
      <x:c r="G12" s="25" t="n">
        <x:f>COUNTIFS('Skill Coding'!$A$2:$A$300,"SE",'Skill Coding'!$C$2:$C$300,"frameworks",'Skill Coding'!$D$2:$D$300,F12)</x:f>
        <x:v>1</x:v>
      </x:c>
      <x:c r="H12" s="25" t="n">
        <x:f>'Methodology'!$B$5</x:f>
        <x:v>22</x:v>
      </x:c>
      <x:c r="I12" s="43" t="n">
        <x:f>G12/H12</x:f>
        <x:v>0.045454545454545456</x:v>
      </x:c>
      <x:c r="K12" s="9" t="str">
        <x:v>Docker</x:v>
      </x:c>
      <x:c r="L12" s="25" t="n">
        <x:f>COUNTIFS('Skill Coding'!$A$2:$A$300,"SE",'Skill Coding'!$C$2:$C$300,"tools",'Skill Coding'!$D$2:$D$300,K12)</x:f>
        <x:v>2</x:v>
      </x:c>
      <x:c r="M12" s="25" t="n">
        <x:f>'Methodology'!$B$5</x:f>
        <x:v>22</x:v>
      </x:c>
      <x:c r="N12" s="43" t="n">
        <x:f>L12/M12</x:f>
        <x:v>0.09090909090909091</x:v>
      </x:c>
    </x:row>
    <x:row r="13">
      <x:c r="A13" s="9" t="str">
        <x:v>PHP</x:v>
      </x:c>
      <x:c r="B13" s="25" t="n">
        <x:f>COUNTIFS('Skill Coding'!$A$2:$A$300,"SE",'Skill Coding'!$C$2:$C$300,"languages",'Skill Coding'!$D$2:$D$300,A13)</x:f>
        <x:v>3</x:v>
      </x:c>
      <x:c r="C13" s="25" t="n">
        <x:f>'Methodology'!$B$5</x:f>
        <x:v>22</x:v>
      </x:c>
      <x:c r="D13" s="43" t="n">
        <x:f>B13/C13</x:f>
        <x:v>0.13636363636363635</x:v>
      </x:c>
      <x:c r="K13" s="9" t="str">
        <x:v>Jira</x:v>
      </x:c>
      <x:c r="L13" s="25" t="n">
        <x:f>COUNTIFS('Skill Coding'!$A$2:$A$300,"SE",'Skill Coding'!$C$2:$C$300,"tools",'Skill Coding'!$D$2:$D$300,K13)</x:f>
        <x:v>1</x:v>
      </x:c>
      <x:c r="M13" s="25" t="n">
        <x:f>'Methodology'!$B$5</x:f>
        <x:v>22</x:v>
      </x:c>
      <x:c r="N13" s="43" t="n">
        <x:f>L13/M13</x:f>
        <x:v>0.045454545454545456</x:v>
      </x:c>
    </x:row>
    <x:row r="14">
      <x:c r="A14" s="9" t="str">
        <x:v>C++</x:v>
      </x:c>
      <x:c r="B14" s="25" t="n">
        <x:f>COUNTIFS('Skill Coding'!$A$2:$A$300,"SE",'Skill Coding'!$C$2:$C$300,"languages",'Skill Coding'!$D$2:$D$300,A14)</x:f>
        <x:v>1</x:v>
      </x:c>
      <x:c r="C14" s="25" t="n">
        <x:f>'Methodology'!$B$5</x:f>
        <x:v>22</x:v>
      </x:c>
      <x:c r="D14" s="43" t="n">
        <x:f>B14/C14</x:f>
        <x:v>0.045454545454545456</x:v>
      </x:c>
      <x:c r="K14" s="9" t="str">
        <x:v>PostgreSQL</x:v>
      </x:c>
      <x:c r="L14" s="25" t="n">
        <x:f>COUNTIFS('Skill Coding'!$A$2:$A$300,"SE",'Skill Coding'!$C$2:$C$300,"tools",'Skill Coding'!$D$2:$D$300,K14)</x:f>
        <x:v>1</x:v>
      </x:c>
      <x:c r="M14" s="25" t="n">
        <x:f>'Methodology'!$B$5</x:f>
        <x:v>22</x:v>
      </x:c>
      <x:c r="N14" s="43" t="n">
        <x:f>L14/M14</x:f>
        <x:v>0.045454545454545456</x:v>
      </x:c>
    </x:row>
    <x:row r="15">
      <x:c r="A15" s="9" t="str">
        <x:v>Kotlin</x:v>
      </x:c>
      <x:c r="B15" s="25" t="n">
        <x:f>COUNTIFS('Skill Coding'!$A$2:$A$300,"SE",'Skill Coding'!$C$2:$C$300,"languages",'Skill Coding'!$D$2:$D$300,A15)</x:f>
        <x:v>1</x:v>
      </x:c>
      <x:c r="C15" s="25" t="n">
        <x:f>'Methodology'!$B$5</x:f>
        <x:v>22</x:v>
      </x:c>
      <x:c r="D15" s="43" t="n">
        <x:f>B15/C15</x:f>
        <x:v>0.045454545454545456</x:v>
      </x:c>
      <x:c r="K15" s="9" t="str">
        <x:v>Postman</x:v>
      </x:c>
      <x:c r="L15" s="25" t="n">
        <x:f>COUNTIFS('Skill Coding'!$A$2:$A$300,"SE",'Skill Coding'!$C$2:$C$300,"tools",'Skill Coding'!$D$2:$D$300,K15)</x:f>
        <x:v>1</x:v>
      </x:c>
      <x:c r="M15" s="25" t="n">
        <x:f>'Methodology'!$B$5</x:f>
        <x:v>22</x:v>
      </x:c>
      <x:c r="N15" s="43" t="n">
        <x:f>L15/M15</x:f>
        <x:v>0.045454545454545456</x:v>
      </x:c>
    </x:row>
    <x:row r="18">
      <x:c r="A18" s="28" t="str">
        <x:v>Git/GitHub explicit</x:v>
      </x:c>
      <x:c r="B18" s="28"/>
      <x:c r="C18" s="28"/>
      <x:c r="D18" s="28"/>
      <x:c r="F18" s="28" t="str">
        <x:v>Portfolio/GitHub requested</x:v>
      </x:c>
      <x:c r="G18" s="28"/>
      <x:c r="H18" s="28"/>
      <x:c r="I18" s="28"/>
      <x:c r="K18" s="28" t="str">
        <x:v>Qualifications</x:v>
      </x:c>
      <x:c r="L18" s="28"/>
      <x:c r="M18" s="28"/>
      <x:c r="N18" s="28"/>
    </x:row>
    <x:row r="19">
      <x:c r="A19" s="5" t="str">
        <x:v>Category</x:v>
      </x:c>
      <x:c r="B19" s="5" t="str">
        <x:v>Count</x:v>
      </x:c>
      <x:c r="C19" s="5" t="str">
        <x:v>Denominator</x:v>
      </x:c>
      <x:c r="D19" s="5" t="str">
        <x:v>Percentage</x:v>
      </x:c>
      <x:c r="F19" s="5" t="str">
        <x:v>Category</x:v>
      </x:c>
      <x:c r="G19" s="5" t="str">
        <x:v>Count</x:v>
      </x:c>
      <x:c r="H19" s="5" t="str">
        <x:v>Denominator</x:v>
      </x:c>
      <x:c r="I19" s="5" t="str">
        <x:v>Percentage</x:v>
      </x:c>
      <x:c r="K19" s="5" t="str">
        <x:v>Category</x:v>
      </x:c>
      <x:c r="L19" s="5" t="str">
        <x:v>Count</x:v>
      </x:c>
      <x:c r="M19" s="5" t="str">
        <x:v>Denominator</x:v>
      </x:c>
      <x:c r="N19" s="5" t="str">
        <x:v>Percentage</x:v>
      </x:c>
    </x:row>
    <x:row r="20">
      <x:c r="A20" s="8" t="str">
        <x:v>N</x:v>
      </x:c>
      <x:c r="B20" s="24" t="n">
        <x:v>11</x:v>
      </x:c>
      <x:c r="C20" s="24" t="n">
        <x:v>22</x:v>
      </x:c>
      <x:c r="D20" s="42" t="n">
        <x:v>0.5</x:v>
      </x:c>
      <x:c r="F20" s="8" t="str">
        <x:v>N</x:v>
      </x:c>
      <x:c r="G20" s="24" t="n">
        <x:v>19</x:v>
      </x:c>
      <x:c r="H20" s="24" t="n">
        <x:v>22</x:v>
      </x:c>
      <x:c r="I20" s="42" t="n">
        <x:v>0.8636363636363636</x:v>
      </x:c>
      <x:c r="K20" s="8" t="str">
        <x:v>Degree required</x:v>
      </x:c>
      <x:c r="L20" s="24" t="n">
        <x:v>16</x:v>
      </x:c>
      <x:c r="M20" s="24" t="n">
        <x:v>22</x:v>
      </x:c>
      <x:c r="N20" s="42" t="n">
        <x:v>0.7272727272727273</x:v>
      </x:c>
    </x:row>
    <x:row r="21">
      <x:c r="A21" s="9" t="str">
        <x:v>Y</x:v>
      </x:c>
      <x:c r="B21" s="25" t="n">
        <x:v>11</x:v>
      </x:c>
      <x:c r="C21" s="25" t="n">
        <x:v>22</x:v>
      </x:c>
      <x:c r="D21" s="43" t="n">
        <x:v>0.5</x:v>
      </x:c>
      <x:c r="F21" s="9" t="str">
        <x:v>Y</x:v>
      </x:c>
      <x:c r="G21" s="25" t="n">
        <x:v>3</x:v>
      </x:c>
      <x:c r="H21" s="25" t="n">
        <x:v>22</x:v>
      </x:c>
      <x:c r="I21" s="43" t="n">
        <x:v>0.13636363636363635</x:v>
      </x:c>
      <x:c r="K21" s="9" t="str">
        <x:v>No qualification specified</x:v>
      </x:c>
      <x:c r="L21" s="25" t="n">
        <x:v>6</x:v>
      </x:c>
      <x:c r="M21" s="25" t="n">
        <x:v>22</x:v>
      </x:c>
      <x:c r="N21" s="43" t="n">
        <x:v>0.2727272727272727</x:v>
      </x:c>
    </x:row>
    <x:row r="25">
      <x:c r="A25" s="28" t="str">
        <x:v>Experience wording</x:v>
      </x:c>
      <x:c r="B25" s="28"/>
      <x:c r="C25" s="28"/>
      <x:c r="D25" s="28"/>
      <x:c r="F25" s="28" t="str">
        <x:v>Work arrangement (known n=21)</x:v>
      </x:c>
      <x:c r="G25" s="28"/>
      <x:c r="H25" s="28"/>
      <x:c r="I25" s="28"/>
      <x:c r="K25" s="28" t="str">
        <x:v>Province / geography</x:v>
      </x:c>
      <x:c r="L25" s="28"/>
      <x:c r="M25" s="28"/>
      <x:c r="N25" s="28"/>
    </x:row>
    <x:row r="26">
      <x:c r="A26" s="5" t="str">
        <x:v>Category</x:v>
      </x:c>
      <x:c r="B26" s="5" t="str">
        <x:v>Count</x:v>
      </x:c>
      <x:c r="C26" s="5" t="str">
        <x:v>Denominator</x:v>
      </x:c>
      <x:c r="D26" s="5" t="str">
        <x:v>Percentage</x:v>
      </x:c>
      <x:c r="F26" s="5" t="str">
        <x:v>Category</x:v>
      </x:c>
      <x:c r="G26" s="5" t="str">
        <x:v>Count</x:v>
      </x:c>
      <x:c r="H26" s="5" t="str">
        <x:v>Denominator</x:v>
      </x:c>
      <x:c r="I26" s="5" t="str">
        <x:v>Percentage</x:v>
      </x:c>
      <x:c r="K26" s="5" t="str">
        <x:v>Category</x:v>
      </x:c>
      <x:c r="L26" s="5" t="str">
        <x:v>Count</x:v>
      </x:c>
      <x:c r="M26" s="5" t="str">
        <x:v>Denominator</x:v>
      </x:c>
      <x:c r="N26" s="5" t="str">
        <x:v>Percentage</x:v>
      </x:c>
    </x:row>
    <x:row r="27">
      <x:c r="A27" s="8" t="str">
        <x:v>0 years</x:v>
      </x:c>
      <x:c r="B27" s="24" t="n">
        <x:v>5</x:v>
      </x:c>
      <x:c r="C27" s="24" t="n">
        <x:v>22</x:v>
      </x:c>
      <x:c r="D27" s="42" t="n">
        <x:v>0.22727272727272727</x:v>
      </x:c>
      <x:c r="F27" s="8" t="str">
        <x:v>Hybrid</x:v>
      </x:c>
      <x:c r="G27" s="24" t="n">
        <x:v>14</x:v>
      </x:c>
      <x:c r="H27" s="24" t="n">
        <x:v>21</x:v>
      </x:c>
      <x:c r="I27" s="42" t="n">
        <x:v>0.6666666666666666</x:v>
      </x:c>
      <x:c r="K27" s="8" t="str">
        <x:v>Gauteng</x:v>
      </x:c>
      <x:c r="L27" s="24" t="n">
        <x:v>16</x:v>
      </x:c>
      <x:c r="M27" s="24" t="n">
        <x:v>22</x:v>
      </x:c>
      <x:c r="N27" s="42" t="n">
        <x:v>0.7272727272727273</x:v>
      </x:c>
    </x:row>
    <x:row r="28">
      <x:c r="A28" s="9" t="str">
        <x:v>0–2 years</x:v>
      </x:c>
      <x:c r="B28" s="25" t="n">
        <x:v>4</x:v>
      </x:c>
      <x:c r="C28" s="25" t="n">
        <x:v>22</x:v>
      </x:c>
      <x:c r="D28" s="43" t="n">
        <x:v>0.18181818181818182</x:v>
      </x:c>
      <x:c r="F28" s="9" t="str">
        <x:v>On-site</x:v>
      </x:c>
      <x:c r="G28" s="25" t="n">
        <x:v>5</x:v>
      </x:c>
      <x:c r="H28" s="25" t="n">
        <x:v>21</x:v>
      </x:c>
      <x:c r="I28" s="43" t="n">
        <x:v>0.23809523809523808</x:v>
      </x:c>
      <x:c r="K28" s="9" t="str">
        <x:v>Western Cape</x:v>
      </x:c>
      <x:c r="L28" s="25" t="n">
        <x:v>4</x:v>
      </x:c>
      <x:c r="M28" s="25" t="n">
        <x:v>22</x:v>
      </x:c>
      <x:c r="N28" s="43" t="n">
        <x:v>0.18181818181818182</x:v>
      </x:c>
    </x:row>
    <x:row r="29">
      <x:c r="A29" s="9" t="str">
        <x:v>1 year / 1+</x:v>
      </x:c>
      <x:c r="B29" s="25" t="n">
        <x:v>4</x:v>
      </x:c>
      <x:c r="C29" s="25" t="n">
        <x:v>22</x:v>
      </x:c>
      <x:c r="D29" s="43" t="n">
        <x:v>0.18181818181818182</x:v>
      </x:c>
      <x:c r="F29" s="9" t="str">
        <x:v>Remote</x:v>
      </x:c>
      <x:c r="G29" s="25" t="n">
        <x:v>2</x:v>
      </x:c>
      <x:c r="H29" s="25" t="n">
        <x:v>21</x:v>
      </x:c>
      <x:c r="I29" s="43" t="n">
        <x:v>0.09523809523809523</x:v>
      </x:c>
      <x:c r="K29" s="9" t="str">
        <x:v>KwaZulu-Natal</x:v>
      </x:c>
      <x:c r="L29" s="25" t="n">
        <x:v>2</x:v>
      </x:c>
      <x:c r="M29" s="25" t="n">
        <x:v>22</x:v>
      </x:c>
      <x:c r="N29" s="43" t="n">
        <x:v>0.09090909090909091</x:v>
      </x:c>
    </x:row>
    <x:row r="30">
      <x:c r="A30" s="9" t="str">
        <x:v>1–2 years</x:v>
      </x:c>
      <x:c r="B30" s="25" t="n">
        <x:v>4</x:v>
      </x:c>
      <x:c r="C30" s="25" t="n">
        <x:v>22</x:v>
      </x:c>
      <x:c r="D30" s="43" t="n">
        <x:v>0.18181818181818182</x:v>
      </x:c>
    </x:row>
    <x:row r="31">
      <x:c r="A31" s="9" t="str">
        <x:v>0–1 years</x:v>
      </x:c>
      <x:c r="B31" s="25" t="n">
        <x:v>2</x:v>
      </x:c>
      <x:c r="C31" s="25" t="n">
        <x:v>22</x:v>
      </x:c>
      <x:c r="D31" s="43" t="n">
        <x:v>0.09090909090909091</x:v>
      </x:c>
    </x:row>
    <x:row r="32">
      <x:c r="A32" s="9" t="str">
        <x:v>2+</x:v>
      </x:c>
      <x:c r="B32" s="25" t="n">
        <x:v>2</x:v>
      </x:c>
      <x:c r="C32" s="25" t="n">
        <x:v>22</x:v>
      </x:c>
      <x:c r="D32" s="43" t="n">
        <x:v>0.09090909090909091</x:v>
      </x:c>
    </x:row>
    <x:row r="33">
      <x:c r="A33" s="9" t="str">
        <x:v>1-3</x:v>
      </x:c>
      <x:c r="B33" s="25" t="n">
        <x:v>1</x:v>
      </x:c>
      <x:c r="C33" s="25" t="n">
        <x:v>22</x:v>
      </x:c>
      <x:c r="D33" s="43" t="n">
        <x:v>0.045454545454545456</x:v>
      </x:c>
    </x:row>
    <x:row r="35">
      <x:c r="A35" s="46" t="str">
        <x:v>Most repeated skill combinations (co-occurrence, not causal bundles)</x:v>
      </x:c>
      <x:c r="B35" s="46"/>
      <x:c r="C35" s="46"/>
      <x:c r="D35" s="46"/>
      <x:c r="E35" s="46"/>
      <x:c r="F35" s="46"/>
      <x:c r="G35" s="46"/>
      <x:c r="H35" s="46"/>
      <x:c r="I35" s="46"/>
      <x:c r="J35" s="46"/>
      <x:c r="K35" s="46"/>
      <x:c r="L35" s="46"/>
      <x:c r="M35" s="46"/>
      <x:c r="N35" s="46"/>
      <x:c r="O35" s="46"/>
      <x:c r="P35" s="46"/>
    </x:row>
    <x:row r="36">
      <x:c r="A36" s="5" t="str">
        <x:v>Skill 1</x:v>
      </x:c>
      <x:c r="B36" s="5" t="str">
        <x:v>Skill 2</x:v>
      </x:c>
      <x:c r="C36" s="5" t="str">
        <x:v>Posts</x:v>
      </x:c>
      <x:c r="D36" s="5" t="str">
        <x:v>Post IDs</x:v>
      </x:c>
    </x:row>
    <x:row r="37">
      <x:c r="A37" s="8" t="str">
        <x:v>.NET</x:v>
      </x:c>
      <x:c r="B37" s="8" t="str">
        <x:v>C#</x:v>
      </x:c>
      <x:c r="C37" s="8" t="n">
        <x:v>10</x:v>
      </x:c>
      <x:c r="D37" s="16" t="str">
        <x:v>SE-001, SE-002, SE-005, SE-007, SE-008, SE-013, SE-015, SE-022, SE-024, SE-025</x:v>
      </x:c>
    </x:row>
    <x:row r="38">
      <x:c r="A38" s="9" t="str">
        <x:v>C#</x:v>
      </x:c>
      <x:c r="B38" s="9" t="str">
        <x:v>JavaScript</x:v>
      </x:c>
      <x:c r="C38" s="9" t="n">
        <x:v>9</x:v>
      </x:c>
      <x:c r="D38" s="17" t="str">
        <x:v>SE-005, SE-007, SE-008, SE-011, SE-013, SE-015, SE-022, SE-024, SE-025</x:v>
      </x:c>
    </x:row>
    <x:row r="39">
      <x:c r="A39" s="9" t="str">
        <x:v>C#</x:v>
      </x:c>
      <x:c r="B39" s="9" t="str">
        <x:v>Python</x:v>
      </x:c>
      <x:c r="C39" s="9" t="n">
        <x:v>9</x:v>
      </x:c>
      <x:c r="D39" s="17" t="str">
        <x:v>SE-002, SE-004, SE-005, SE-007, SE-008, SE-011, SE-012, SE-015, SE-022</x:v>
      </x:c>
    </x:row>
    <x:row r="40">
      <x:c r="A40" s="9" t="str">
        <x:v>C#</x:v>
      </x:c>
      <x:c r="B40" s="9" t="str">
        <x:v>SQL</x:v>
      </x:c>
      <x:c r="C40" s="9" t="n">
        <x:v>9</x:v>
      </x:c>
      <x:c r="D40" s="17" t="str">
        <x:v>SE-001, SE-002, SE-005, SE-011, SE-013, SE-015, SE-022, SE-024, SE-025</x:v>
      </x:c>
    </x:row>
    <x:row r="41">
      <x:c r="A41" s="9" t="str">
        <x:v>Git/GitHub</x:v>
      </x:c>
      <x:c r="B41" s="9" t="str">
        <x:v>SQL</x:v>
      </x:c>
      <x:c r="C41" s="9" t="n">
        <x:v>9</x:v>
      </x:c>
      <x:c r="D41" s="17" t="str">
        <x:v>SE-002, SE-005, SE-011, SE-020, SE-021, SE-022, SE-024, SE-025, SE-027</x:v>
      </x:c>
    </x:row>
    <x:row r="42">
      <x:c r="A42" s="9" t="str">
        <x:v>HTML/CSS</x:v>
      </x:c>
      <x:c r="B42" s="9" t="str">
        <x:v>JavaScript</x:v>
      </x:c>
      <x:c r="C42" s="9" t="n">
        <x:v>9</x:v>
      </x:c>
      <x:c r="D42" s="17" t="str">
        <x:v>SE-005, SE-007, SE-011, SE-013, SE-018, SE-021, SE-024, SE-025, SE-030</x:v>
      </x:c>
    </x:row>
    <x:row r="43">
      <x:c r="A43" s="9" t="str">
        <x:v>.NET</x:v>
      </x:c>
      <x:c r="B43" s="9" t="str">
        <x:v>JavaScript</x:v>
      </x:c>
      <x:c r="C43" s="9" t="n">
        <x:v>8</x:v>
      </x:c>
      <x:c r="D43" s="17" t="str">
        <x:v>SE-005, SE-007, SE-008, SE-013, SE-015, SE-022, SE-024, SE-025</x:v>
      </x:c>
    </x:row>
    <x:row r="44">
      <x:c r="A44" s="9" t="str">
        <x:v>.NET</x:v>
      </x:c>
      <x:c r="B44" s="9" t="str">
        <x:v>SQL</x:v>
      </x:c>
      <x:c r="C44" s="9" t="n">
        <x:v>8</x:v>
      </x:c>
      <x:c r="D44" s="17" t="str">
        <x:v>SE-001, SE-002, SE-005, SE-013, SE-015, SE-022, SE-024, SE-025</x:v>
      </x:c>
    </x:row>
    <x:row r="45">
      <x:c r="A45" s="9" t="str">
        <x:v>C#</x:v>
      </x:c>
      <x:c r="B45" s="9" t="str">
        <x:v>Git/GitHub</x:v>
      </x:c>
      <x:c r="C45" s="9" t="n">
        <x:v>8</x:v>
      </x:c>
      <x:c r="D45" s="17" t="str">
        <x:v>SE-002, SE-005, SE-008, SE-011, SE-012, SE-022, SE-024, SE-025</x:v>
      </x:c>
    </x:row>
    <x:row r="46">
      <x:c r="A46" s="9" t="str">
        <x:v>JavaScript</x:v>
      </x:c>
      <x:c r="B46" s="9" t="str">
        <x:v>SQL</x:v>
      </x:c>
      <x:c r="C46" s="9" t="n">
        <x:v>8</x:v>
      </x:c>
      <x:c r="D46" s="17" t="str">
        <x:v>SE-005, SE-011, SE-013, SE-015, SE-021, SE-022, SE-024, SE-025</x:v>
      </x:c>
    </x:row>
    <x:row r="47">
      <x:c r="A47" s="9" t="str">
        <x:v>C#</x:v>
      </x:c>
      <x:c r="B47" s="9" t="str">
        <x:v>Java</x:v>
      </x:c>
      <x:c r="C47" s="9" t="n">
        <x:v>7</x:v>
      </x:c>
      <x:c r="D47" s="17" t="str">
        <x:v>SE-002, SE-004, SE-005, SE-007, SE-008, SE-011, SE-022</x:v>
      </x:c>
    </x:row>
    <x:row r="48">
      <x:c r="A48" s="9" t="str">
        <x:v>Git/GitHub</x:v>
      </x:c>
      <x:c r="B48" s="9" t="str">
        <x:v>Java</x:v>
      </x:c>
      <x:c r="C48" s="9" t="n">
        <x:v>7</x:v>
      </x:c>
      <x:c r="D48" s="17" t="str">
        <x:v>SE-002, SE-005, SE-008, SE-011, SE-020, SE-021, SE-022</x:v>
      </x:c>
    </x:row>
  </x:sheetData>
  <x:mergeCells>
    <x:mergeCell ref="A1:P1"/>
    <x:mergeCell ref="A2:P2"/>
    <x:mergeCell ref="A4:D4"/>
    <x:mergeCell ref="F4:I4"/>
    <x:mergeCell ref="K4:N4"/>
    <x:mergeCell ref="A18:D18"/>
    <x:mergeCell ref="F18:I18"/>
    <x:mergeCell ref="K18:N18"/>
    <x:mergeCell ref="A25:D25"/>
    <x:mergeCell ref="F25:I25"/>
    <x:mergeCell ref="K25:N25"/>
    <x:mergeCell ref="A35:P35"/>
  </x:mergeCells>
  <x:pageMargins left="0.7" right="0.7" top="0.75" bottom="0.75" header="0.3" footer="0.3"/>
  <x:drawing xmlns:r="http://schemas.openxmlformats.org/officeDocument/2006/relationships" r:id="R5f7e16e0b6894d32"/>
</x:worksheet>
</file>

<file path=xl/worksheets/sheet4.xml><?xml version="1.0" encoding="utf-8"?>
<x:worksheet xmlns:x="http://schemas.openxmlformats.org/spreadsheetml/2006/main">
  <x:sheetViews>
    <x:sheetView showGridLines="0" workbookViewId="0"/>
  </x:sheetViews>
  <x:sheetFormatPr defaultRowHeight="15"/>
  <x:cols>
    <x:col min="1" max="1" width="26" hidden="0" customWidth="1"/>
    <x:col min="2" max="2" width="14" hidden="0" customWidth="1"/>
    <x:col min="3" max="3" width="14" hidden="0" customWidth="1"/>
    <x:col min="4" max="4" width="14" hidden="0" customWidth="1"/>
    <x:col min="5" max="5" width="3" hidden="0" customWidth="1"/>
    <x:col min="6" max="6" width="30" hidden="0" customWidth="1"/>
    <x:col min="7" max="7" width="14" hidden="0" customWidth="1"/>
    <x:col min="8" max="8" width="14" hidden="0" customWidth="1"/>
    <x:col min="9" max="9" width="14" hidden="0" customWidth="1"/>
    <x:col min="10" max="10" width="3" hidden="0" customWidth="1"/>
    <x:col min="11" max="11" width="25" hidden="0" customWidth="1"/>
    <x:col min="12" max="12" width="14" hidden="0" customWidth="1"/>
    <x:col min="13" max="13" width="14" hidden="0" customWidth="1"/>
    <x:col min="14" max="14" width="14" hidden="0" customWidth="1"/>
    <x:col min="15" max="15" width="12" hidden="0" customWidth="1"/>
    <x:col min="16" max="16" width="12" hidden="0" customWidth="1"/>
  </x:cols>
  <x:sheetData>
    <x:row r="1" ht="34" customHeight="1">
      <x:c r="A1" s="19" t="str">
        <x:v>Data Analytics Market Profile</x:v>
      </x:c>
      <x:c r="B1" s="19"/>
      <x:c r="C1" s="19"/>
      <x:c r="D1" s="19"/>
      <x:c r="E1" s="19"/>
      <x:c r="F1" s="19"/>
      <x:c r="G1" s="19"/>
      <x:c r="H1" s="19"/>
      <x:c r="I1" s="19"/>
      <x:c r="J1" s="19"/>
      <x:c r="K1" s="19"/>
      <x:c r="L1" s="19"/>
      <x:c r="M1" s="19"/>
      <x:c r="N1" s="19"/>
      <x:c r="O1" s="19"/>
      <x:c r="P1" s="19"/>
    </x:row>
    <x:row r="2" ht="30" customHeight="1">
      <x:c r="A2" s="23" t="str">
        <x:v>Main sample: 16 entry-level-accessible posts</x:v>
      </x:c>
      <x:c r="B2" s="23"/>
      <x:c r="C2" s="23"/>
      <x:c r="D2" s="23"/>
      <x:c r="E2" s="23"/>
      <x:c r="F2" s="23"/>
      <x:c r="G2" s="23"/>
      <x:c r="H2" s="23"/>
      <x:c r="I2" s="23"/>
      <x:c r="J2" s="23"/>
      <x:c r="K2" s="23"/>
      <x:c r="L2" s="23"/>
      <x:c r="M2" s="23"/>
      <x:c r="N2" s="23"/>
      <x:c r="O2" s="23"/>
      <x:c r="P2" s="23"/>
    </x:row>
    <x:row r="4">
      <x:c r="A4" s="49" t="str">
        <x:v>Core analytical skills</x:v>
      </x:c>
      <x:c r="B4" s="49"/>
      <x:c r="C4" s="49"/>
      <x:c r="D4" s="49"/>
      <x:c r="F4" s="49" t="str">
        <x:v>Reporting and visualisation</x:v>
      </x:c>
      <x:c r="G4" s="49"/>
      <x:c r="H4" s="49"/>
      <x:c r="I4" s="49"/>
      <x:c r="K4" s="49" t="str">
        <x:v>Tools and platforms</x:v>
      </x:c>
      <x:c r="L4" s="49"/>
      <x:c r="M4" s="49"/>
      <x:c r="N4" s="49"/>
    </x:row>
    <x:row r="5">
      <x:c r="A5" s="5" t="str">
        <x:v>Item</x:v>
      </x:c>
      <x:c r="B5" s="5" t="str">
        <x:v>Count</x:v>
      </x:c>
      <x:c r="C5" s="5" t="str">
        <x:v>Denominator</x:v>
      </x:c>
      <x:c r="D5" s="5" t="str">
        <x:v>Percentage</x:v>
      </x:c>
      <x:c r="F5" s="5" t="str">
        <x:v>Item</x:v>
      </x:c>
      <x:c r="G5" s="5" t="str">
        <x:v>Count</x:v>
      </x:c>
      <x:c r="H5" s="5" t="str">
        <x:v>Denominator</x:v>
      </x:c>
      <x:c r="I5" s="5" t="str">
        <x:v>Percentage</x:v>
      </x:c>
      <x:c r="K5" s="5" t="str">
        <x:v>Item</x:v>
      </x:c>
      <x:c r="L5" s="5" t="str">
        <x:v>Count</x:v>
      </x:c>
      <x:c r="M5" s="5" t="str">
        <x:v>Denominator</x:v>
      </x:c>
      <x:c r="N5" s="5" t="str">
        <x:v>Percentage</x:v>
      </x:c>
    </x:row>
    <x:row r="6">
      <x:c r="A6" s="8" t="str">
        <x:v>SQL</x:v>
      </x:c>
      <x:c r="B6" s="24" t="n">
        <x:f>COUNTIFS('Skill Coding'!$A$2:$A$300,"DA",'Skill Coding'!$C$2:$C$300,"core_skills",'Skill Coding'!$D$2:$D$300,A6)</x:f>
        <x:v>13</x:v>
      </x:c>
      <x:c r="C6" s="24" t="n">
        <x:f>'Methodology'!$B$6</x:f>
        <x:v>16</x:v>
      </x:c>
      <x:c r="D6" s="42" t="n">
        <x:f>B6/C6</x:f>
        <x:v>0.8125</x:v>
      </x:c>
      <x:c r="F6" s="8" t="str">
        <x:v>Power BI</x:v>
      </x:c>
      <x:c r="G6" s="24" t="n">
        <x:f>COUNTIFS('Skill Coding'!$A$2:$A$300,"DA",'Skill Coding'!$C$2:$C$300,"reporting_tools",'Skill Coding'!$D$2:$D$300,F6)</x:f>
        <x:v>13</x:v>
      </x:c>
      <x:c r="H6" s="24" t="n">
        <x:f>'Methodology'!$B$6</x:f>
        <x:v>16</x:v>
      </x:c>
      <x:c r="I6" s="42" t="n">
        <x:f>G6/H6</x:f>
        <x:v>0.8125</x:v>
      </x:c>
      <x:c r="K6" s="8" t="str">
        <x:v>Excel</x:v>
      </x:c>
      <x:c r="L6" s="24" t="n">
        <x:f>COUNTIFS('Skill Coding'!$A$2:$A$300,"DA",'Skill Coding'!$C$2:$C$300,"tools",'Skill Coding'!$D$2:$D$300,K6)</x:f>
        <x:v>10</x:v>
      </x:c>
      <x:c r="M6" s="24" t="n">
        <x:f>'Methodology'!$B$6</x:f>
        <x:v>16</x:v>
      </x:c>
      <x:c r="N6" s="42" t="n">
        <x:f>L6/M6</x:f>
        <x:v>0.625</x:v>
      </x:c>
    </x:row>
    <x:row r="7">
      <x:c r="A7" s="9" t="str">
        <x:v>Python</x:v>
      </x:c>
      <x:c r="B7" s="25" t="n">
        <x:f>COUNTIFS('Skill Coding'!$A$2:$A$300,"DA",'Skill Coding'!$C$2:$C$300,"core_skills",'Skill Coding'!$D$2:$D$300,A7)</x:f>
        <x:v>8</x:v>
      </x:c>
      <x:c r="C7" s="25" t="n">
        <x:f>'Methodology'!$B$6</x:f>
        <x:v>16</x:v>
      </x:c>
      <x:c r="D7" s="43" t="n">
        <x:f>B7/C7</x:f>
        <x:v>0.5</x:v>
      </x:c>
      <x:c r="F7" s="9" t="str">
        <x:v>Tableau</x:v>
      </x:c>
      <x:c r="G7" s="25" t="n">
        <x:f>COUNTIFS('Skill Coding'!$A$2:$A$300,"DA",'Skill Coding'!$C$2:$C$300,"reporting_tools",'Skill Coding'!$D$2:$D$300,F7)</x:f>
        <x:v>8</x:v>
      </x:c>
      <x:c r="H7" s="25" t="n">
        <x:f>'Methodology'!$B$6</x:f>
        <x:v>16</x:v>
      </x:c>
      <x:c r="I7" s="43" t="n">
        <x:f>G7/H7</x:f>
        <x:v>0.5</x:v>
      </x:c>
      <x:c r="K7" s="9" t="str">
        <x:v>Azure</x:v>
      </x:c>
      <x:c r="L7" s="25" t="n">
        <x:f>COUNTIFS('Skill Coding'!$A$2:$A$300,"DA",'Skill Coding'!$C$2:$C$300,"tools",'Skill Coding'!$D$2:$D$300,K7)</x:f>
        <x:v>1</x:v>
      </x:c>
      <x:c r="M7" s="25" t="n">
        <x:f>'Methodology'!$B$6</x:f>
        <x:v>16</x:v>
      </x:c>
      <x:c r="N7" s="43" t="n">
        <x:f>L7/M7</x:f>
        <x:v>0.0625</x:v>
      </x:c>
    </x:row>
    <x:row r="8">
      <x:c r="A8" s="9" t="str">
        <x:v>Statistics</x:v>
      </x:c>
      <x:c r="B8" s="25" t="n">
        <x:f>COUNTIFS('Skill Coding'!$A$2:$A$300,"DA",'Skill Coding'!$C$2:$C$300,"core_skills",'Skill Coding'!$D$2:$D$300,A8)</x:f>
        <x:v>7</x:v>
      </x:c>
      <x:c r="C8" s="25" t="n">
        <x:f>'Methodology'!$B$6</x:f>
        <x:v>16</x:v>
      </x:c>
      <x:c r="D8" s="43" t="n">
        <x:f>B8/C8</x:f>
        <x:v>0.4375</x:v>
      </x:c>
      <x:c r="F8" s="9" t="str">
        <x:v>Excel (dashboards/pivot tables)</x:v>
      </x:c>
      <x:c r="G8" s="25" t="n">
        <x:f>COUNTIFS('Skill Coding'!$A$2:$A$300,"DA",'Skill Coding'!$C$2:$C$300,"reporting_tools",'Skill Coding'!$D$2:$D$300,F8)</x:f>
        <x:v>5</x:v>
      </x:c>
      <x:c r="H8" s="25" t="n">
        <x:f>'Methodology'!$B$6</x:f>
        <x:v>16</x:v>
      </x:c>
      <x:c r="I8" s="43" t="n">
        <x:f>G8/H8</x:f>
        <x:v>0.3125</x:v>
      </x:c>
      <x:c r="K8" s="9" t="str">
        <x:v>Jira</x:v>
      </x:c>
      <x:c r="L8" s="25" t="n">
        <x:f>COUNTIFS('Skill Coding'!$A$2:$A$300,"DA",'Skill Coding'!$C$2:$C$300,"tools",'Skill Coding'!$D$2:$D$300,K8)</x:f>
        <x:v>1</x:v>
      </x:c>
      <x:c r="M8" s="25" t="n">
        <x:f>'Methodology'!$B$6</x:f>
        <x:v>16</x:v>
      </x:c>
      <x:c r="N8" s="43" t="n">
        <x:f>L8/M8</x:f>
        <x:v>0.0625</x:v>
      </x:c>
    </x:row>
    <x:row r="9">
      <x:c r="A9" s="9" t="str">
        <x:v>R</x:v>
      </x:c>
      <x:c r="B9" s="25" t="n">
        <x:f>COUNTIFS('Skill Coding'!$A$2:$A$300,"DA",'Skill Coding'!$C$2:$C$300,"core_skills",'Skill Coding'!$D$2:$D$300,A9)</x:f>
        <x:v>4</x:v>
      </x:c>
      <x:c r="C9" s="25" t="n">
        <x:f>'Methodology'!$B$6</x:f>
        <x:v>16</x:v>
      </x:c>
      <x:c r="D9" s="43" t="n">
        <x:f>B9/C9</x:f>
        <x:v>0.25</x:v>
      </x:c>
      <x:c r="F9" s="9" t="str">
        <x:v>Google Data Studio / Looker Studio</x:v>
      </x:c>
      <x:c r="G9" s="25" t="n">
        <x:f>COUNTIFS('Skill Coding'!$A$2:$A$300,"DA",'Skill Coding'!$C$2:$C$300,"reporting_tools",'Skill Coding'!$D$2:$D$300,F9)</x:f>
        <x:v>2</x:v>
      </x:c>
      <x:c r="H9" s="25" t="n">
        <x:f>'Methodology'!$B$6</x:f>
        <x:v>16</x:v>
      </x:c>
      <x:c r="I9" s="43" t="n">
        <x:f>G9/H9</x:f>
        <x:v>0.125</x:v>
      </x:c>
      <x:c r="K9" s="9" t="str">
        <x:v>pandas</x:v>
      </x:c>
      <x:c r="L9" s="25" t="n">
        <x:f>COUNTIFS('Skill Coding'!$A$2:$A$300,"DA",'Skill Coding'!$C$2:$C$300,"tools",'Skill Coding'!$D$2:$D$300,K9)</x:f>
        <x:v>1</x:v>
      </x:c>
      <x:c r="M9" s="25" t="n">
        <x:f>'Methodology'!$B$6</x:f>
        <x:v>16</x:v>
      </x:c>
      <x:c r="N9" s="43" t="n">
        <x:f>L9/M9</x:f>
        <x:v>0.0625</x:v>
      </x:c>
    </x:row>
    <x:row r="10">
      <x:c r="A10" s="9" t="str">
        <x:v>Excel (advanced)</x:v>
      </x:c>
      <x:c r="B10" s="25" t="n">
        <x:f>COUNTIFS('Skill Coding'!$A$2:$A$300,"DA",'Skill Coding'!$C$2:$C$300,"core_skills",'Skill Coding'!$D$2:$D$300,A10)</x:f>
        <x:v>2</x:v>
      </x:c>
      <x:c r="C10" s="25" t="n">
        <x:f>'Methodology'!$B$6</x:f>
        <x:v>16</x:v>
      </x:c>
      <x:c r="D10" s="43" t="n">
        <x:f>B10/C10</x:f>
        <x:v>0.125</x:v>
      </x:c>
      <x:c r="K10" s="9" t="str">
        <x:v>Power Query</x:v>
      </x:c>
      <x:c r="L10" s="25" t="n">
        <x:f>COUNTIFS('Skill Coding'!$A$2:$A$300,"DA",'Skill Coding'!$C$2:$C$300,"tools",'Skill Coding'!$D$2:$D$300,K10)</x:f>
        <x:v>1</x:v>
      </x:c>
      <x:c r="M10" s="25" t="n">
        <x:f>'Methodology'!$B$6</x:f>
        <x:v>16</x:v>
      </x:c>
      <x:c r="N10" s="43" t="n">
        <x:f>L10/M10</x:f>
        <x:v>0.0625</x:v>
      </x:c>
    </x:row>
    <x:row r="11">
      <x:c r="A11" s="9" t="str">
        <x:v>Data Cleaning</x:v>
      </x:c>
      <x:c r="B11" s="25" t="n">
        <x:f>COUNTIFS('Skill Coding'!$A$2:$A$300,"DA",'Skill Coding'!$C$2:$C$300,"core_skills",'Skill Coding'!$D$2:$D$300,A11)</x:f>
        <x:v>1</x:v>
      </x:c>
      <x:c r="C11" s="25" t="n">
        <x:f>'Methodology'!$B$6</x:f>
        <x:v>16</x:v>
      </x:c>
      <x:c r="D11" s="43" t="n">
        <x:f>B11/C11</x:f>
        <x:v>0.0625</x:v>
      </x:c>
    </x:row>
    <x:row r="12">
      <x:c r="A12" s="9" t="str">
        <x:v>Data Modelling</x:v>
      </x:c>
      <x:c r="B12" s="25" t="n">
        <x:f>COUNTIFS('Skill Coding'!$A$2:$A$300,"DA",'Skill Coding'!$C$2:$C$300,"core_skills",'Skill Coding'!$D$2:$D$300,A12)</x:f>
        <x:v>1</x:v>
      </x:c>
      <x:c r="C12" s="25" t="n">
        <x:f>'Methodology'!$B$6</x:f>
        <x:v>16</x:v>
      </x:c>
      <x:c r="D12" s="43" t="n">
        <x:f>B12/C12</x:f>
        <x:v>0.0625</x:v>
      </x:c>
    </x:row>
    <x:row r="16">
      <x:c r="A16" s="49" t="str">
        <x:v>SQL explicit</x:v>
      </x:c>
      <x:c r="B16" s="49"/>
      <x:c r="C16" s="49"/>
      <x:c r="D16" s="49"/>
      <x:c r="F16" s="49" t="str">
        <x:v>Portfolio/GitHub requested</x:v>
      </x:c>
      <x:c r="G16" s="49"/>
      <x:c r="H16" s="49"/>
      <x:c r="I16" s="49"/>
      <x:c r="K16" s="49" t="str">
        <x:v>Qualifications</x:v>
      </x:c>
      <x:c r="L16" s="49"/>
      <x:c r="M16" s="49"/>
      <x:c r="N16" s="49"/>
    </x:row>
    <x:row r="17">
      <x:c r="A17" s="5" t="str">
        <x:v>Category</x:v>
      </x:c>
      <x:c r="B17" s="5" t="str">
        <x:v>Count</x:v>
      </x:c>
      <x:c r="C17" s="5" t="str">
        <x:v>Denominator</x:v>
      </x:c>
      <x:c r="D17" s="5" t="str">
        <x:v>Percentage</x:v>
      </x:c>
      <x:c r="F17" s="5" t="str">
        <x:v>Category</x:v>
      </x:c>
      <x:c r="G17" s="5" t="str">
        <x:v>Count</x:v>
      </x:c>
      <x:c r="H17" s="5" t="str">
        <x:v>Denominator</x:v>
      </x:c>
      <x:c r="I17" s="5" t="str">
        <x:v>Percentage</x:v>
      </x:c>
      <x:c r="K17" s="5" t="str">
        <x:v>Category</x:v>
      </x:c>
      <x:c r="L17" s="5" t="str">
        <x:v>Count</x:v>
      </x:c>
      <x:c r="M17" s="5" t="str">
        <x:v>Denominator</x:v>
      </x:c>
      <x:c r="N17" s="5" t="str">
        <x:v>Percentage</x:v>
      </x:c>
    </x:row>
    <x:row r="18">
      <x:c r="A18" s="8" t="str">
        <x:v>Y</x:v>
      </x:c>
      <x:c r="B18" s="24" t="n">
        <x:v>13</x:v>
      </x:c>
      <x:c r="C18" s="24" t="n">
        <x:v>16</x:v>
      </x:c>
      <x:c r="D18" s="42" t="n">
        <x:v>0.8125</x:v>
      </x:c>
      <x:c r="F18" s="8" t="str">
        <x:v>N</x:v>
      </x:c>
      <x:c r="G18" s="24" t="n">
        <x:v>15</x:v>
      </x:c>
      <x:c r="H18" s="24" t="n">
        <x:v>16</x:v>
      </x:c>
      <x:c r="I18" s="42" t="n">
        <x:v>0.9375</x:v>
      </x:c>
      <x:c r="K18" s="8" t="str">
        <x:v>Degree required</x:v>
      </x:c>
      <x:c r="L18" s="24" t="n">
        <x:v>9</x:v>
      </x:c>
      <x:c r="M18" s="24" t="n">
        <x:v>16</x:v>
      </x:c>
      <x:c r="N18" s="42" t="n">
        <x:v>0.5625</x:v>
      </x:c>
    </x:row>
    <x:row r="19">
      <x:c r="A19" s="9" t="str">
        <x:v>N</x:v>
      </x:c>
      <x:c r="B19" s="25" t="n">
        <x:v>3</x:v>
      </x:c>
      <x:c r="C19" s="25" t="n">
        <x:v>16</x:v>
      </x:c>
      <x:c r="D19" s="43" t="n">
        <x:v>0.1875</x:v>
      </x:c>
      <x:c r="F19" s="9" t="str">
        <x:v>Y</x:v>
      </x:c>
      <x:c r="G19" s="25" t="n">
        <x:v>1</x:v>
      </x:c>
      <x:c r="H19" s="25" t="n">
        <x:v>16</x:v>
      </x:c>
      <x:c r="I19" s="43" t="n">
        <x:v>0.0625</x:v>
      </x:c>
      <x:c r="K19" s="9" t="str">
        <x:v>No qualification specified</x:v>
      </x:c>
      <x:c r="L19" s="25" t="n">
        <x:v>5</x:v>
      </x:c>
      <x:c r="M19" s="25" t="n">
        <x:v>16</x:v>
      </x:c>
      <x:c r="N19" s="43" t="n">
        <x:v>0.3125</x:v>
      </x:c>
    </x:row>
    <x:row r="20">
      <x:c r="K20" s="9" t="str">
        <x:v>Certificate/bootcamp mentioned</x:v>
      </x:c>
      <x:c r="L20" s="25" t="n">
        <x:v>1</x:v>
      </x:c>
      <x:c r="M20" s="25" t="n">
        <x:v>16</x:v>
      </x:c>
      <x:c r="N20" s="43" t="n">
        <x:v>0.0625</x:v>
      </x:c>
    </x:row>
    <x:row r="21">
      <x:c r="K21" s="9" t="str">
        <x:v>Degree preferred</x:v>
      </x:c>
      <x:c r="L21" s="25" t="n">
        <x:v>1</x:v>
      </x:c>
      <x:c r="M21" s="25" t="n">
        <x:v>16</x:v>
      </x:c>
      <x:c r="N21" s="43" t="n">
        <x:v>0.0625</x:v>
      </x:c>
    </x:row>
    <x:row r="24">
      <x:c r="A24" s="49" t="str">
        <x:v>Experience wording</x:v>
      </x:c>
      <x:c r="B24" s="49"/>
      <x:c r="C24" s="49"/>
      <x:c r="D24" s="49"/>
      <x:c r="F24" s="49" t="str">
        <x:v>Work arrangement (known n=14)</x:v>
      </x:c>
      <x:c r="G24" s="49"/>
      <x:c r="H24" s="49"/>
      <x:c r="I24" s="49"/>
      <x:c r="K24" s="49" t="str">
        <x:v>Province / geography</x:v>
      </x:c>
      <x:c r="L24" s="49"/>
      <x:c r="M24" s="49"/>
      <x:c r="N24" s="49"/>
    </x:row>
    <x:row r="25">
      <x:c r="A25" s="5" t="str">
        <x:v>Category</x:v>
      </x:c>
      <x:c r="B25" s="5" t="str">
        <x:v>Count</x:v>
      </x:c>
      <x:c r="C25" s="5" t="str">
        <x:v>Denominator</x:v>
      </x:c>
      <x:c r="D25" s="5" t="str">
        <x:v>Percentage</x:v>
      </x:c>
      <x:c r="F25" s="5" t="str">
        <x:v>Category</x:v>
      </x:c>
      <x:c r="G25" s="5" t="str">
        <x:v>Count</x:v>
      </x:c>
      <x:c r="H25" s="5" t="str">
        <x:v>Denominator</x:v>
      </x:c>
      <x:c r="I25" s="5" t="str">
        <x:v>Percentage</x:v>
      </x:c>
      <x:c r="K25" s="5" t="str">
        <x:v>Category</x:v>
      </x:c>
      <x:c r="L25" s="5" t="str">
        <x:v>Count</x:v>
      </x:c>
      <x:c r="M25" s="5" t="str">
        <x:v>Denominator</x:v>
      </x:c>
      <x:c r="N25" s="5" t="str">
        <x:v>Percentage</x:v>
      </x:c>
    </x:row>
    <x:row r="26">
      <x:c r="A26" s="8" t="str">
        <x:v>Not specified</x:v>
      </x:c>
      <x:c r="B26" s="24" t="n">
        <x:v>4</x:v>
      </x:c>
      <x:c r="C26" s="24" t="n">
        <x:v>16</x:v>
      </x:c>
      <x:c r="D26" s="42" t="n">
        <x:v>0.25</x:v>
      </x:c>
      <x:c r="F26" s="8" t="str">
        <x:v>Hybrid</x:v>
      </x:c>
      <x:c r="G26" s="24" t="n">
        <x:v>9</x:v>
      </x:c>
      <x:c r="H26" s="24" t="n">
        <x:v>14</x:v>
      </x:c>
      <x:c r="I26" s="42" t="n">
        <x:v>0.6428571428571429</x:v>
      </x:c>
      <x:c r="K26" s="8" t="str">
        <x:v>Gauteng</x:v>
      </x:c>
      <x:c r="L26" s="24" t="n">
        <x:v>9</x:v>
      </x:c>
      <x:c r="M26" s="24" t="n">
        <x:v>16</x:v>
      </x:c>
      <x:c r="N26" s="42" t="n">
        <x:v>0.5625</x:v>
      </x:c>
    </x:row>
    <x:row r="27">
      <x:c r="A27" s="9" t="str">
        <x:v>0–1 years</x:v>
      </x:c>
      <x:c r="B27" s="25" t="n">
        <x:v>3</x:v>
      </x:c>
      <x:c r="C27" s="25" t="n">
        <x:v>16</x:v>
      </x:c>
      <x:c r="D27" s="43" t="n">
        <x:v>0.1875</x:v>
      </x:c>
      <x:c r="F27" s="9" t="str">
        <x:v>On-site</x:v>
      </x:c>
      <x:c r="G27" s="25" t="n">
        <x:v>4</x:v>
      </x:c>
      <x:c r="H27" s="25" t="n">
        <x:v>14</x:v>
      </x:c>
      <x:c r="I27" s="43" t="n">
        <x:v>0.2857142857142857</x:v>
      </x:c>
      <x:c r="K27" s="9" t="str">
        <x:v>Western Cape</x:v>
      </x:c>
      <x:c r="L27" s="25" t="n">
        <x:v>5</x:v>
      </x:c>
      <x:c r="M27" s="25" t="n">
        <x:v>16</x:v>
      </x:c>
      <x:c r="N27" s="43" t="n">
        <x:v>0.3125</x:v>
      </x:c>
    </x:row>
    <x:row r="28">
      <x:c r="A28" s="9" t="str">
        <x:v>0–2 years</x:v>
      </x:c>
      <x:c r="B28" s="25" t="n">
        <x:v>3</x:v>
      </x:c>
      <x:c r="C28" s="25" t="n">
        <x:v>16</x:v>
      </x:c>
      <x:c r="D28" s="43" t="n">
        <x:v>0.1875</x:v>
      </x:c>
      <x:c r="F28" s="9" t="str">
        <x:v>Remote</x:v>
      </x:c>
      <x:c r="G28" s="25" t="n">
        <x:v>1</x:v>
      </x:c>
      <x:c r="H28" s="25" t="n">
        <x:v>14</x:v>
      </x:c>
      <x:c r="I28" s="43" t="n">
        <x:v>0.07142857142857142</x:v>
      </x:c>
      <x:c r="K28" s="9" t="str">
        <x:v>Eastern Cape</x:v>
      </x:c>
      <x:c r="L28" s="25" t="n">
        <x:v>2</x:v>
      </x:c>
      <x:c r="M28" s="25" t="n">
        <x:v>16</x:v>
      </x:c>
      <x:c r="N28" s="43" t="n">
        <x:v>0.125</x:v>
      </x:c>
    </x:row>
    <x:row r="29">
      <x:c r="A29" s="9" t="str">
        <x:v>1-3</x:v>
      </x:c>
      <x:c r="B29" s="25" t="n">
        <x:v>3</x:v>
      </x:c>
      <x:c r="C29" s="25" t="n">
        <x:v>16</x:v>
      </x:c>
      <x:c r="D29" s="43" t="n">
        <x:v>0.1875</x:v>
      </x:c>
    </x:row>
    <x:row r="30">
      <x:c r="A30" s="9" t="str">
        <x:v>0 years</x:v>
      </x:c>
      <x:c r="B30" s="25" t="n">
        <x:v>1</x:v>
      </x:c>
      <x:c r="C30" s="25" t="n">
        <x:v>16</x:v>
      </x:c>
      <x:c r="D30" s="43" t="n">
        <x:v>0.0625</x:v>
      </x:c>
    </x:row>
    <x:row r="31">
      <x:c r="A31" s="9" t="str">
        <x:v>1–2 years</x:v>
      </x:c>
      <x:c r="B31" s="25" t="n">
        <x:v>1</x:v>
      </x:c>
      <x:c r="C31" s="25" t="n">
        <x:v>16</x:v>
      </x:c>
      <x:c r="D31" s="43" t="n">
        <x:v>0.0625</x:v>
      </x:c>
    </x:row>
    <x:row r="32">
      <x:c r="A32" s="9" t="str">
        <x:v>2+</x:v>
      </x:c>
      <x:c r="B32" s="25" t="n">
        <x:v>1</x:v>
      </x:c>
      <x:c r="C32" s="25" t="n">
        <x:v>16</x:v>
      </x:c>
      <x:c r="D32" s="43" t="n">
        <x:v>0.0625</x:v>
      </x:c>
    </x:row>
    <x:row r="35">
      <x:c r="A35" s="46" t="str">
        <x:v>Most repeated skill combinations (co-occurrence, not causal bundles)</x:v>
      </x:c>
      <x:c r="B35" s="46"/>
      <x:c r="C35" s="46"/>
      <x:c r="D35" s="46"/>
      <x:c r="E35" s="46"/>
      <x:c r="F35" s="46"/>
      <x:c r="G35" s="46"/>
      <x:c r="H35" s="46"/>
      <x:c r="I35" s="46"/>
      <x:c r="J35" s="46"/>
      <x:c r="K35" s="46"/>
      <x:c r="L35" s="46"/>
      <x:c r="M35" s="46"/>
      <x:c r="N35" s="46"/>
      <x:c r="O35" s="46"/>
      <x:c r="P35" s="46"/>
    </x:row>
    <x:row r="36">
      <x:c r="A36" s="5" t="str">
        <x:v>Skill 1</x:v>
      </x:c>
      <x:c r="B36" s="5" t="str">
        <x:v>Skill 2</x:v>
      </x:c>
      <x:c r="C36" s="5" t="str">
        <x:v>Posts</x:v>
      </x:c>
      <x:c r="D36" s="5" t="str">
        <x:v>Post IDs</x:v>
      </x:c>
    </x:row>
    <x:row r="37">
      <x:c r="A37" s="8" t="str">
        <x:v>Power BI</x:v>
      </x:c>
      <x:c r="B37" s="8" t="str">
        <x:v>SQL</x:v>
      </x:c>
      <x:c r="C37" s="8" t="n">
        <x:v>11</x:v>
      </x:c>
      <x:c r="D37" s="8" t="str">
        <x:v>DA-002, DA-008, DA-011, DA-012, DA-013, DA-014, DA-018, DA-019, DA-020, DA-024, DA-025</x:v>
      </x:c>
    </x:row>
    <x:row r="38">
      <x:c r="A38" s="9" t="str">
        <x:v>Excel</x:v>
      </x:c>
      <x:c r="B38" s="9" t="str">
        <x:v>Power BI</x:v>
      </x:c>
      <x:c r="C38" s="9" t="n">
        <x:v>9</x:v>
      </x:c>
      <x:c r="D38" s="9" t="str">
        <x:v>DA-002, DA-007, DA-008, DA-012, DA-013, DA-014, DA-018, DA-019, DA-024</x:v>
      </x:c>
    </x:row>
    <x:row r="39">
      <x:c r="A39" s="9" t="str">
        <x:v>Excel</x:v>
      </x:c>
      <x:c r="B39" s="9" t="str">
        <x:v>SQL</x:v>
      </x:c>
      <x:c r="C39" s="9" t="n">
        <x:v>9</x:v>
      </x:c>
      <x:c r="D39" s="9" t="str">
        <x:v>DA-002, DA-008, DA-010, DA-012, DA-013, DA-014, DA-018, DA-019, DA-024</x:v>
      </x:c>
    </x:row>
    <x:row r="40">
      <x:c r="A40" s="9" t="str">
        <x:v>SQL</x:v>
      </x:c>
      <x:c r="B40" s="9" t="str">
        <x:v>Tableau</x:v>
      </x:c>
      <x:c r="C40" s="9" t="n">
        <x:v>8</x:v>
      </x:c>
      <x:c r="D40" s="9" t="str">
        <x:v>DA-002, DA-010, DA-011, DA-014, DA-018, DA-020, DA-024, DA-025</x:v>
      </x:c>
    </x:row>
    <x:row r="41">
      <x:c r="A41" s="9" t="str">
        <x:v>Power BI</x:v>
      </x:c>
      <x:c r="B41" s="9" t="str">
        <x:v>Tableau</x:v>
      </x:c>
      <x:c r="C41" s="9" t="n">
        <x:v>7</x:v>
      </x:c>
      <x:c r="D41" s="9" t="str">
        <x:v>DA-002, DA-011, DA-014, DA-018, DA-020, DA-024, DA-025</x:v>
      </x:c>
    </x:row>
    <x:row r="42">
      <x:c r="A42" s="9" t="str">
        <x:v>Python</x:v>
      </x:c>
      <x:c r="B42" s="9" t="str">
        <x:v>SQL</x:v>
      </x:c>
      <x:c r="C42" s="9" t="n">
        <x:v>7</x:v>
      </x:c>
      <x:c r="D42" s="9" t="str">
        <x:v>DA-002, DA-008, DA-010, DA-011, DA-014, DA-018, SE-023</x:v>
      </x:c>
    </x:row>
    <x:row r="43">
      <x:c r="A43" s="9" t="str">
        <x:v>SQL</x:v>
      </x:c>
      <x:c r="B43" s="9" t="str">
        <x:v>Statistics</x:v>
      </x:c>
      <x:c r="C43" s="9" t="n">
        <x:v>7</x:v>
      </x:c>
      <x:c r="D43" s="9" t="str">
        <x:v>DA-008, DA-010, DA-011, DA-013, DA-014, DA-018, DA-024</x:v>
      </x:c>
    </x:row>
    <x:row r="44">
      <x:c r="A44" s="9" t="str">
        <x:v>Excel</x:v>
      </x:c>
      <x:c r="B44" s="9" t="str">
        <x:v>Statistics</x:v>
      </x:c>
      <x:c r="C44" s="9" t="n">
        <x:v>6</x:v>
      </x:c>
      <x:c r="D44" s="9" t="str">
        <x:v>DA-008, DA-010, DA-013, DA-014, DA-018, DA-024</x:v>
      </x:c>
    </x:row>
    <x:row r="45">
      <x:c r="A45" s="9" t="str">
        <x:v>Power BI</x:v>
      </x:c>
      <x:c r="B45" s="9" t="str">
        <x:v>Python</x:v>
      </x:c>
      <x:c r="C45" s="9" t="n">
        <x:v>6</x:v>
      </x:c>
      <x:c r="D45" s="9" t="str">
        <x:v>DA-002, DA-008, DA-011, DA-014, DA-018, DA-023</x:v>
      </x:c>
    </x:row>
    <x:row r="46">
      <x:c r="A46" s="9" t="str">
        <x:v>Power BI</x:v>
      </x:c>
      <x:c r="B46" s="9" t="str">
        <x:v>Statistics</x:v>
      </x:c>
      <x:c r="C46" s="9" t="n">
        <x:v>6</x:v>
      </x:c>
      <x:c r="D46" s="9" t="str">
        <x:v>DA-008, DA-011, DA-013, DA-014, DA-018, DA-024</x:v>
      </x:c>
    </x:row>
    <x:row r="47">
      <x:c r="A47" s="9" t="str">
        <x:v>Excel</x:v>
      </x:c>
      <x:c r="B47" s="9" t="str">
        <x:v>Excel (dashboards/pivot tables)</x:v>
      </x:c>
      <x:c r="C47" s="9" t="n">
        <x:v>5</x:v>
      </x:c>
      <x:c r="D47" s="9" t="str">
        <x:v>DA-002, DA-007, DA-008, DA-012, DA-019</x:v>
      </x:c>
    </x:row>
    <x:row r="48">
      <x:c r="A48" s="9" t="str">
        <x:v>Excel</x:v>
      </x:c>
      <x:c r="B48" s="9" t="str">
        <x:v>Python</x:v>
      </x:c>
      <x:c r="C48" s="9" t="n">
        <x:v>5</x:v>
      </x:c>
      <x:c r="D48" s="9" t="str">
        <x:v>DA-002, DA-008, DA-010, DA-014, DA-018</x:v>
      </x:c>
    </x:row>
  </x:sheetData>
  <x:mergeCells>
    <x:mergeCell ref="A1:P1"/>
    <x:mergeCell ref="A2:P2"/>
    <x:mergeCell ref="A4:D4"/>
    <x:mergeCell ref="F4:I4"/>
    <x:mergeCell ref="K4:N4"/>
    <x:mergeCell ref="A16:D16"/>
    <x:mergeCell ref="F16:I16"/>
    <x:mergeCell ref="K16:N16"/>
    <x:mergeCell ref="A24:D24"/>
    <x:mergeCell ref="F24:I24"/>
    <x:mergeCell ref="K24:N24"/>
    <x:mergeCell ref="A35:P35"/>
  </x:mergeCells>
  <x:pageMargins left="0.7" right="0.7" top="0.75" bottom="0.75" header="0.3" footer="0.3"/>
  <x:drawing xmlns:r="http://schemas.openxmlformats.org/officeDocument/2006/relationships" r:id="R642a4725570f45b1"/>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14" hidden="0" customWidth="1"/>
    <x:col min="3" max="3" width="14" hidden="0" customWidth="1"/>
    <x:col min="4" max="4" width="14" hidden="0" customWidth="1"/>
    <x:col min="5" max="5" width="14" hidden="0" customWidth="1"/>
    <x:col min="6" max="6" width="20" hidden="0" customWidth="1"/>
    <x:col min="7" max="7" width="15" hidden="0" customWidth="1"/>
    <x:col min="8" max="8" width="15" hidden="0" customWidth="1"/>
    <x:col min="9" max="9" width="30" hidden="0" customWidth="1"/>
    <x:col min="10" max="10" width="3" hidden="0" customWidth="1"/>
    <x:col min="11" max="11" width="27" hidden="0" customWidth="1"/>
    <x:col min="12" max="12" width="14" hidden="0" customWidth="1"/>
    <x:col min="13" max="13" width="14" hidden="0" customWidth="1"/>
    <x:col min="14" max="14" width="30" hidden="0" customWidth="1"/>
  </x:cols>
  <x:sheetData>
    <x:row r="1" ht="34" customHeight="1">
      <x:c r="A1" s="19" t="str">
        <x:v>Cross-Track Comparison</x:v>
      </x:c>
      <x:c r="B1" s="19"/>
      <x:c r="C1" s="19"/>
      <x:c r="D1" s="19"/>
      <x:c r="E1" s="19"/>
      <x:c r="F1" s="19"/>
      <x:c r="G1" s="19"/>
      <x:c r="H1" s="19"/>
      <x:c r="I1" s="19"/>
      <x:c r="J1" s="19"/>
      <x:c r="K1" s="19"/>
      <x:c r="L1" s="19"/>
      <x:c r="M1" s="19"/>
      <x:c r="N1" s="19"/>
    </x:row>
    <x:row r="2" ht="30" customHeight="1">
      <x:c r="A2" s="23" t="str">
        <x:v>Only genuinely comparable dimensions are placed side by side</x:v>
      </x:c>
      <x:c r="B2" s="23"/>
      <x:c r="C2" s="23"/>
      <x:c r="D2" s="23"/>
      <x:c r="E2" s="23"/>
      <x:c r="F2" s="23"/>
      <x:c r="G2" s="23"/>
      <x:c r="H2" s="23"/>
      <x:c r="I2" s="23"/>
      <x:c r="J2" s="23"/>
      <x:c r="K2" s="23"/>
      <x:c r="L2" s="23"/>
      <x:c r="M2" s="23"/>
      <x:c r="N2" s="23"/>
    </x:row>
    <x:row r="4">
      <x:c r="A4" s="5" t="str">
        <x:v>Qualification</x:v>
      </x:c>
      <x:c r="B4" s="5" t="str">
        <x:v>SE count</x:v>
      </x:c>
      <x:c r="C4" s="5" t="str">
        <x:v>DA count</x:v>
      </x:c>
      <x:c r="D4" s="5" t="str">
        <x:v>Interpretation</x:v>
      </x:c>
      <x:c r="F4" s="5" t="str">
        <x:v>Work arrangement</x:v>
      </x:c>
      <x:c r="G4" s="5" t="str">
        <x:v>SE count (n=21)</x:v>
      </x:c>
      <x:c r="H4" s="5" t="str">
        <x:v>DA count (n=14)</x:v>
      </x:c>
      <x:c r="I4" s="5" t="str">
        <x:v>Note</x:v>
      </x:c>
      <x:c r="K4" s="5" t="str">
        <x:v>Comparable signal</x:v>
      </x:c>
      <x:c r="L4" s="5" t="str">
        <x:v>SE</x:v>
      </x:c>
      <x:c r="M4" s="5" t="str">
        <x:v>DA</x:v>
      </x:c>
      <x:c r="N4" s="5" t="str">
        <x:v>Meaning</x:v>
      </x:c>
    </x:row>
    <x:row r="5" ht="28" customHeight="1">
      <x:c r="A5" s="8" t="str">
        <x:v>Degree required</x:v>
      </x:c>
      <x:c r="B5" s="8" t="n">
        <x:f>COUNTIF('SE Source'!$K$2:$K$23,A5)</x:f>
        <x:v>16</x:v>
      </x:c>
      <x:c r="C5" s="8" t="n">
        <x:f>COUNTIF('DA Source'!$K$2:$K$17,A5)</x:f>
        <x:v>9</x:v>
      </x:c>
      <x:c r="D5" s="16" t="str">
        <x:v>Formal degree requirements are more prevalent in SE.</x:v>
      </x:c>
      <x:c r="F5" s="8" t="str">
        <x:v>Hybrid</x:v>
      </x:c>
      <x:c r="G5" s="8" t="n">
        <x:f>COUNTIF('SE Source'!$E$2:$E$23,F5)</x:f>
        <x:v>14</x:v>
      </x:c>
      <x:c r="H5" s="8" t="n">
        <x:f>COUNTIF('DA Source'!$E$2:$E$17,F5)</x:f>
        <x:v>9</x:v>
      </x:c>
      <x:c r="I5" s="16" t="str">
        <x:v>Hybrid dominates known arrangements in both tracks.</x:v>
      </x:c>
      <x:c r="K5" s="8" t="str">
        <x:v>Portfolio requested</x:v>
      </x:c>
      <x:c r="L5" s="8" t="n">
        <x:f>COUNTIF('SE Source'!$P$2:$P$23,"Y")</x:f>
        <x:v>3</x:v>
      </x:c>
      <x:c r="M5" s="8" t="n">
        <x:f>COUNTIF('DA Source'!$P$2:$P$17,"Y")</x:f>
        <x:v>1</x:v>
      </x:c>
      <x:c r="N5" s="16" t="str">
        <x:v>Rarely explicit in both tracks</x:v>
      </x:c>
    </x:row>
    <x:row r="6" ht="28" customHeight="1">
      <x:c r="A6" s="9" t="str">
        <x:v>Degree preferred</x:v>
      </x:c>
      <x:c r="B6" s="9" t="n">
        <x:f>COUNTIF('SE Source'!$K$2:$K$23,A6)</x:f>
        <x:v>0</x:v>
      </x:c>
      <x:c r="C6" s="9" t="n">
        <x:f>COUNTIF('DA Source'!$K$2:$K$17,A6)</x:f>
        <x:v>1</x:v>
      </x:c>
      <x:c r="D6" s="17" t="str"/>
      <x:c r="F6" s="9" t="str">
        <x:v>On-site</x:v>
      </x:c>
      <x:c r="G6" s="9" t="n">
        <x:f>COUNTIF('SE Source'!$E$2:$E$23,F6)</x:f>
        <x:v>5</x:v>
      </x:c>
      <x:c r="H6" s="9" t="n">
        <x:f>COUNTIF('DA Source'!$E$2:$E$17,F6)</x:f>
        <x:v>4</x:v>
      </x:c>
      <x:c r="I6" s="17" t="str"/>
      <x:c r="K6" s="9" t="str">
        <x:v>Degree required</x:v>
      </x:c>
      <x:c r="L6" s="9" t="n">
        <x:f>COUNTIF('SE Source'!$K$2:$K$23,"Degree required")</x:f>
        <x:v>16</x:v>
      </x:c>
      <x:c r="M6" s="9" t="n">
        <x:f>COUNTIF('DA Source'!$K$2:$K$17,"Degree required")</x:f>
        <x:v>9</x:v>
      </x:c>
      <x:c r="N6" s="17" t="str">
        <x:v>More common in SE</x:v>
      </x:c>
    </x:row>
    <x:row r="7" ht="28" customHeight="1">
      <x:c r="A7" s="9" t="str">
        <x:v>Certificate/bootcamp mentioned</x:v>
      </x:c>
      <x:c r="B7" s="9" t="n">
        <x:f>COUNTIF('SE Source'!$K$2:$K$23,A7)</x:f>
        <x:v>0</x:v>
      </x:c>
      <x:c r="C7" s="9" t="n">
        <x:f>COUNTIF('DA Source'!$K$2:$K$17,A7)</x:f>
        <x:v>1</x:v>
      </x:c>
      <x:c r="D7" s="17" t="str"/>
      <x:c r="F7" s="9" t="str">
        <x:v>Remote</x:v>
      </x:c>
      <x:c r="G7" s="9" t="n">
        <x:f>COUNTIF('SE Source'!$E$2:$E$23,F7)</x:f>
        <x:v>2</x:v>
      </x:c>
      <x:c r="H7" s="9" t="n">
        <x:f>COUNTIF('DA Source'!$E$2:$E$17,F7)</x:f>
        <x:v>1</x:v>
      </x:c>
      <x:c r="I7" s="17" t="str"/>
      <x:c r="K7" s="9" t="str">
        <x:v>Hybrid among known work types</x:v>
      </x:c>
      <x:c r="L7" s="43" t="n">
        <x:f>COUNTIF('SE Source'!$E$2:$E$23,"Hybrid")/21</x:f>
        <x:v>0.6666666666666666</x:v>
      </x:c>
      <x:c r="M7" s="43" t="n">
        <x:f>COUNTIF('DA Source'!$E$2:$E$17,"Hybrid")/14</x:f>
        <x:v>0.6428571428571429</x:v>
      </x:c>
      <x:c r="N7" s="17" t="str">
        <x:v>Similar pattern</x:v>
      </x:c>
    </x:row>
    <x:row r="8" ht="28" customHeight="1">
      <x:c r="A8" s="9" t="str">
        <x:v>No qualification specified</x:v>
      </x:c>
      <x:c r="B8" s="9" t="n">
        <x:f>COUNTIF('SE Source'!$K$2:$K$23,A8)</x:f>
        <x:v>6</x:v>
      </x:c>
      <x:c r="C8" s="9" t="n">
        <x:f>COUNTIF('DA Source'!$K$2:$K$17,A8)</x:f>
        <x:v>5</x:v>
      </x:c>
      <x:c r="D8" s="17" t="str"/>
      <x:c r="K8" s="9" t="str">
        <x:v>Remote among known work types</x:v>
      </x:c>
      <x:c r="L8" s="43" t="n">
        <x:f>COUNTIF('SE Source'!$E$2:$E$23,"Remote")/21</x:f>
        <x:v>0.09523809523809523</x:v>
      </x:c>
      <x:c r="M8" s="43" t="n">
        <x:f>COUNTIF('DA Source'!$E$2:$E$17,"Remote")/14</x:f>
        <x:v>0.07142857142857142</x:v>
      </x:c>
      <x:c r="N8" s="17" t="str">
        <x:v>Minority pattern</x:v>
      </x:c>
    </x:row>
    <x:row r="11">
      <x:c r="A11" s="46" t="str">
        <x:v>Soft-skill and readiness themes — percentage of posts with at least one coded phrase</x:v>
      </x:c>
      <x:c r="B11" s="46"/>
      <x:c r="C11" s="46"/>
      <x:c r="D11" s="46"/>
      <x:c r="E11" s="46"/>
      <x:c r="F11" s="46"/>
      <x:c r="G11" s="46"/>
      <x:c r="H11" s="46"/>
      <x:c r="I11" s="46"/>
      <x:c r="J11" s="46"/>
      <x:c r="K11" s="46"/>
      <x:c r="L11" s="46"/>
      <x:c r="M11" s="46"/>
      <x:c r="N11" s="46"/>
    </x:row>
    <x:row r="12">
      <x:c r="A12" s="5" t="str">
        <x:v>Theme</x:v>
      </x:c>
      <x:c r="B12" s="5" t="str">
        <x:v>SE count</x:v>
      </x:c>
      <x:c r="C12" s="5" t="str">
        <x:v>SE %</x:v>
      </x:c>
      <x:c r="D12" s="5" t="str">
        <x:v>DA count</x:v>
      </x:c>
      <x:c r="E12" s="5" t="str">
        <x:v>DA %</x:v>
      </x:c>
    </x:row>
    <x:row r="13">
      <x:c r="A13" s="8" t="str">
        <x:v>Collaboration</x:v>
      </x:c>
      <x:c r="B13" s="8" t="n">
        <x:f>SUMIFS('Qualitative Coding'!$G$2:$G$300,'Qualitative Coding'!$A$2:$A$300,"SE",'Qualitative Coding'!$E$2:$E$300,A13)</x:f>
        <x:v>17</x:v>
      </x:c>
      <x:c r="C13" s="42" t="n">
        <x:f>B13/'Methodology'!$B$5</x:f>
        <x:v>0.7727272727272727</x:v>
      </x:c>
      <x:c r="D13" s="8" t="n">
        <x:f>SUMIFS('Qualitative Coding'!$G$2:$G$300,'Qualitative Coding'!$A$2:$A$300,"DA",'Qualitative Coding'!$E$2:$E$300,A13)</x:f>
        <x:v>8</x:v>
      </x:c>
      <x:c r="E13" s="42" t="n">
        <x:f>D13/'Methodology'!$B$6</x:f>
        <x:v>0.5</x:v>
      </x:c>
    </x:row>
    <x:row r="14">
      <x:c r="A14" s="9" t="str">
        <x:v>Problem-solving</x:v>
      </x:c>
      <x:c r="B14" s="9" t="n">
        <x:f>SUMIFS('Qualitative Coding'!$G$2:$G$300,'Qualitative Coding'!$A$2:$A$300,"SE",'Qualitative Coding'!$E$2:$E$300,A14)</x:f>
        <x:v>11</x:v>
      </x:c>
      <x:c r="C14" s="43" t="n">
        <x:f>B14/'Methodology'!$B$5</x:f>
        <x:v>0.5</x:v>
      </x:c>
      <x:c r="D14" s="9" t="n">
        <x:f>SUMIFS('Qualitative Coding'!$G$2:$G$300,'Qualitative Coding'!$A$2:$A$300,"DA",'Qualitative Coding'!$E$2:$E$300,A14)</x:f>
        <x:v>9</x:v>
      </x:c>
      <x:c r="E14" s="43" t="n">
        <x:f>D14/'Methodology'!$B$6</x:f>
        <x:v>0.5625</x:v>
      </x:c>
    </x:row>
    <x:row r="15">
      <x:c r="A15" s="9" t="str">
        <x:v>Attention to detail</x:v>
      </x:c>
      <x:c r="B15" s="9" t="n">
        <x:f>SUMIFS('Qualitative Coding'!$G$2:$G$300,'Qualitative Coding'!$A$2:$A$300,"SE",'Qualitative Coding'!$E$2:$E$300,A15)</x:f>
        <x:v>5</x:v>
      </x:c>
      <x:c r="C15" s="43" t="n">
        <x:f>B15/'Methodology'!$B$5</x:f>
        <x:v>0.22727272727272727</x:v>
      </x:c>
      <x:c r="D15" s="9" t="n">
        <x:f>SUMIFS('Qualitative Coding'!$G$2:$G$300,'Qualitative Coding'!$A$2:$A$300,"DA",'Qualitative Coding'!$E$2:$E$300,A15)</x:f>
        <x:v>8</x:v>
      </x:c>
      <x:c r="E15" s="43" t="n">
        <x:f>D15/'Methodology'!$B$6</x:f>
        <x:v>0.5</x:v>
      </x:c>
    </x:row>
    <x:row r="16">
      <x:c r="A16" s="9" t="str">
        <x:v>Self-management</x:v>
      </x:c>
      <x:c r="B16" s="9" t="n">
        <x:f>SUMIFS('Qualitative Coding'!$G$2:$G$300,'Qualitative Coding'!$A$2:$A$300,"SE",'Qualitative Coding'!$E$2:$E$300,A16)</x:f>
        <x:v>5</x:v>
      </x:c>
      <x:c r="C16" s="43" t="n">
        <x:f>B16/'Methodology'!$B$5</x:f>
        <x:v>0.22727272727272727</x:v>
      </x:c>
      <x:c r="D16" s="9" t="n">
        <x:f>SUMIFS('Qualitative Coding'!$G$2:$G$300,'Qualitative Coding'!$A$2:$A$300,"DA",'Qualitative Coding'!$E$2:$E$300,A16)</x:f>
        <x:v>6</x:v>
      </x:c>
      <x:c r="E16" s="43" t="n">
        <x:f>D16/'Methodology'!$B$6</x:f>
        <x:v>0.375</x:v>
      </x:c>
    </x:row>
    <x:row r="17">
      <x:c r="A17" s="9" t="str">
        <x:v>Communication</x:v>
      </x:c>
      <x:c r="B17" s="9" t="n">
        <x:f>SUMIFS('Qualitative Coding'!$G$2:$G$300,'Qualitative Coding'!$A$2:$A$300,"SE",'Qualitative Coding'!$E$2:$E$300,A17)</x:f>
        <x:v>5</x:v>
      </x:c>
      <x:c r="C17" s="43" t="n">
        <x:f>B17/'Methodology'!$B$5</x:f>
        <x:v>0.22727272727272727</x:v>
      </x:c>
      <x:c r="D17" s="9" t="n">
        <x:f>SUMIFS('Qualitative Coding'!$G$2:$G$300,'Qualitative Coding'!$A$2:$A$300,"DA",'Qualitative Coding'!$E$2:$E$300,A17)</x:f>
        <x:v>4</x:v>
      </x:c>
      <x:c r="E17" s="43" t="n">
        <x:f>D17/'Methodology'!$B$6</x:f>
        <x:v>0.25</x:v>
      </x:c>
    </x:row>
    <x:row r="18">
      <x:c r="A18" s="9" t="str">
        <x:v>Learning and initiative</x:v>
      </x:c>
      <x:c r="B18" s="9" t="n">
        <x:f>SUMIFS('Qualitative Coding'!$G$2:$G$300,'Qualitative Coding'!$A$2:$A$300,"SE",'Qualitative Coding'!$E$2:$E$300,A18)</x:f>
        <x:v>6</x:v>
      </x:c>
      <x:c r="C18" s="43" t="n">
        <x:f>B18/'Methodology'!$B$5</x:f>
        <x:v>0.2727272727272727</x:v>
      </x:c>
      <x:c r="D18" s="9" t="n">
        <x:f>SUMIFS('Qualitative Coding'!$G$2:$G$300,'Qualitative Coding'!$A$2:$A$300,"DA",'Qualitative Coding'!$E$2:$E$300,A18)</x:f>
        <x:v>2</x:v>
      </x:c>
      <x:c r="E18" s="43" t="n">
        <x:f>D18/'Methodology'!$B$6</x:f>
        <x:v>0.125</x:v>
      </x:c>
    </x:row>
    <x:row r="19">
      <x:c r="A19" s="9" t="str">
        <x:v>Adaptability</x:v>
      </x:c>
      <x:c r="B19" s="9" t="n">
        <x:f>SUMIFS('Qualitative Coding'!$G$2:$G$300,'Qualitative Coding'!$A$2:$A$300,"SE",'Qualitative Coding'!$E$2:$E$300,A19)</x:f>
        <x:v>3</x:v>
      </x:c>
      <x:c r="C19" s="43" t="n">
        <x:f>B19/'Methodology'!$B$5</x:f>
        <x:v>0.13636363636363635</x:v>
      </x:c>
      <x:c r="D19" s="9" t="n">
        <x:f>SUMIFS('Qualitative Coding'!$G$2:$G$300,'Qualitative Coding'!$A$2:$A$300,"DA",'Qualitative Coding'!$E$2:$E$300,A19)</x:f>
        <x:v>2</x:v>
      </x:c>
      <x:c r="E19" s="43" t="n">
        <x:f>D19/'Methodology'!$B$6</x:f>
        <x:v>0.125</x:v>
      </x:c>
    </x:row>
    <x:row r="20">
      <x:c r="A20" s="9" t="str">
        <x:v>Analytical thinking</x:v>
      </x:c>
      <x:c r="B20" s="9" t="n">
        <x:f>SUMIFS('Qualitative Coding'!$G$2:$G$300,'Qualitative Coding'!$A$2:$A$300,"SE",'Qualitative Coding'!$E$2:$E$300,A20)</x:f>
        <x:v>3</x:v>
      </x:c>
      <x:c r="C20" s="43" t="n">
        <x:f>B20/'Methodology'!$B$5</x:f>
        <x:v>0.13636363636363635</x:v>
      </x:c>
      <x:c r="D20" s="9" t="n">
        <x:f>SUMIFS('Qualitative Coding'!$G$2:$G$300,'Qualitative Coding'!$A$2:$A$300,"DA",'Qualitative Coding'!$E$2:$E$300,A20)</x:f>
        <x:v>2</x:v>
      </x:c>
      <x:c r="E20" s="43" t="n">
        <x:f>D20/'Methodology'!$B$6</x:f>
        <x:v>0.125</x:v>
      </x:c>
    </x:row>
    <x:row r="21">
      <x:c r="A21" s="9" t="str">
        <x:v>Interpersonal skills</x:v>
      </x:c>
      <x:c r="B21" s="9" t="n">
        <x:f>SUMIFS('Qualitative Coding'!$G$2:$G$300,'Qualitative Coding'!$A$2:$A$300,"SE",'Qualitative Coding'!$E$2:$E$300,A21)</x:f>
        <x:v>3</x:v>
      </x:c>
      <x:c r="C21" s="43" t="n">
        <x:f>B21/'Methodology'!$B$5</x:f>
        <x:v>0.13636363636363635</x:v>
      </x:c>
      <x:c r="D21" s="9" t="n">
        <x:f>SUMIFS('Qualitative Coding'!$G$2:$G$300,'Qualitative Coding'!$A$2:$A$300,"DA",'Qualitative Coding'!$E$2:$E$300,A21)</x:f>
        <x:v>1</x:v>
      </x:c>
      <x:c r="E21" s="43" t="n">
        <x:f>D21/'Methodology'!$B$6</x:f>
        <x:v>0.0625</x:v>
      </x:c>
    </x:row>
    <x:row r="22">
      <x:c r="A22" s="9" t="str">
        <x:v>Client or stakeholder interaction</x:v>
      </x:c>
      <x:c r="B22" s="9" t="n">
        <x:f>SUMIFS('Qualitative Coding'!$G$2:$G$300,'Qualitative Coding'!$A$2:$A$300,"SE",'Qualitative Coding'!$E$2:$E$300,A22)</x:f>
        <x:v>1</x:v>
      </x:c>
      <x:c r="C22" s="43" t="n">
        <x:f>B22/'Methodology'!$B$5</x:f>
        <x:v>0.045454545454545456</x:v>
      </x:c>
      <x:c r="D22" s="9" t="n">
        <x:f>SUMIFS('Qualitative Coding'!$G$2:$G$300,'Qualitative Coding'!$A$2:$A$300,"DA",'Qualitative Coding'!$E$2:$E$300,A22)</x:f>
        <x:v>1</x:v>
      </x:c>
      <x:c r="E22" s="43" t="n">
        <x:f>D22/'Methodology'!$B$6</x:f>
        <x:v>0.0625</x:v>
      </x:c>
    </x:row>
    <x:row r="23">
      <x:c r="A23" s="9" t="str">
        <x:v>Professional exposure</x:v>
      </x:c>
      <x:c r="B23" s="9" t="n">
        <x:f>SUMIFS('Qualitative Coding'!$G$2:$G$300,'Qualitative Coding'!$A$2:$A$300,"SE",'Qualitative Coding'!$E$2:$E$300,A23)</x:f>
        <x:v>1</x:v>
      </x:c>
      <x:c r="C23" s="43" t="n">
        <x:f>B23/'Methodology'!$B$5</x:f>
        <x:v>0.045454545454545456</x:v>
      </x:c>
      <x:c r="D23" s="9" t="n">
        <x:f>SUMIFS('Qualitative Coding'!$G$2:$G$300,'Qualitative Coding'!$A$2:$A$300,"DA",'Qualitative Coding'!$E$2:$E$300,A23)</x:f>
        <x:v>1</x:v>
      </x:c>
      <x:c r="E23" s="43" t="n">
        <x:f>D23/'Methodology'!$B$6</x:f>
        <x:v>0.0625</x:v>
      </x:c>
    </x:row>
    <x:row r="24">
      <x:c r="A24" s="9" t="str">
        <x:v>Reporting and documentation</x:v>
      </x:c>
      <x:c r="B24" s="9" t="n">
        <x:f>SUMIFS('Qualitative Coding'!$G$2:$G$300,'Qualitative Coding'!$A$2:$A$300,"SE",'Qualitative Coding'!$E$2:$E$300,A24)</x:f>
        <x:v>0</x:v>
      </x:c>
      <x:c r="C24" s="43" t="n">
        <x:f>B24/'Methodology'!$B$5</x:f>
        <x:v>0</x:v>
      </x:c>
      <x:c r="D24" s="9" t="n">
        <x:f>SUMIFS('Qualitative Coding'!$G$2:$G$300,'Qualitative Coding'!$A$2:$A$300,"DA",'Qualitative Coding'!$E$2:$E$300,A24)</x:f>
        <x:v>2</x:v>
      </x:c>
      <x:c r="E24" s="43" t="n">
        <x:f>D24/'Methodology'!$B$6</x:f>
        <x:v>0.125</x:v>
      </x:c>
    </x:row>
  </x:sheetData>
  <x:mergeCells>
    <x:mergeCell ref="A1:N1"/>
    <x:mergeCell ref="A2:N2"/>
    <x:mergeCell ref="A11:N11"/>
  </x:mergeCells>
  <x:pageMargins left="0.7" right="0.7" top="0.75" bottom="0.75" header="0.3" footer="0.3"/>
  <x:drawing xmlns:r="http://schemas.openxmlformats.org/officeDocument/2006/relationships" r:id="R9dc7f54104cc4b72"/>
</x:worksheet>
</file>

<file path=xl/worksheets/sheet6.xml><?xml version="1.0" encoding="utf-8"?>
<x:worksheet xmlns:x="http://schemas.openxmlformats.org/spreadsheetml/2006/main">
  <x:sheetViews>
    <x:sheetView showGridLines="0" workbookViewId="0"/>
  </x:sheetViews>
  <x:sheetFormatPr defaultRowHeight="15"/>
  <x:cols>
    <x:col min="1" max="1" width="10" hidden="0" customWidth="1"/>
    <x:col min="2" max="2" width="42" hidden="0" customWidth="1"/>
    <x:col min="3" max="3" width="38" hidden="0" customWidth="1"/>
    <x:col min="4" max="4" width="13" hidden="0" customWidth="1"/>
    <x:col min="5" max="5" width="13" hidden="0" customWidth="1"/>
    <x:col min="6" max="6" width="13" hidden="0" customWidth="1"/>
    <x:col min="7" max="7" width="24" hidden="0" customWidth="1"/>
    <x:col min="8" max="8" width="54" hidden="0" customWidth="1"/>
  </x:cols>
  <x:sheetData>
    <x:row r="1" ht="34" customHeight="1">
      <x:c r="A1" s="19" t="str">
        <x:v>Rubric V1 Evidence Matrix</x:v>
      </x:c>
      <x:c r="B1" s="19"/>
      <x:c r="C1" s="19"/>
      <x:c r="D1" s="19"/>
      <x:c r="E1" s="19"/>
      <x:c r="F1" s="19"/>
      <x:c r="G1" s="19"/>
      <x:c r="H1" s="19"/>
    </x:row>
    <x:row r="2" ht="30" customHeight="1">
      <x:c r="A2" s="23" t="str">
        <x:v>Formal handover from market description (Phase 7) to rubric decisions (Phase 8)</x:v>
      </x:c>
      <x:c r="B2" s="23"/>
      <x:c r="C2" s="23"/>
      <x:c r="D2" s="23"/>
      <x:c r="E2" s="23"/>
      <x:c r="F2" s="23"/>
      <x:c r="G2" s="23"/>
      <x:c r="H2" s="23"/>
    </x:row>
    <x:row r="4">
      <x:c r="A4" s="5" t="str">
        <x:v>Track</x:v>
      </x:c>
      <x:c r="B4" s="5" t="str">
        <x:v>Rubric assumption</x:v>
      </x:c>
      <x:c r="C4" s="5" t="str">
        <x:v>Market metric</x:v>
      </x:c>
      <x:c r="D4" s="5" t="str">
        <x:v>Count</x:v>
      </x:c>
      <x:c r="E4" s="5" t="str">
        <x:v>Denominator</x:v>
      </x:c>
      <x:c r="F4" s="5" t="str">
        <x:v>Percentage</x:v>
      </x:c>
      <x:c r="G4" s="5" t="str">
        <x:v>Verdict</x:v>
      </x:c>
      <x:c r="H4" s="5" t="str">
        <x:v>Phase 8 question</x:v>
      </x:c>
    </x:row>
    <x:row r="5" ht="68" customHeight="1">
      <x:c r="A5" s="8" t="str">
        <x:v>SE</x:v>
      </x:c>
      <x:c r="B5" s="16" t="str">
        <x:v>A specifically named programming language is foundational.</x:v>
      </x:c>
      <x:c r="C5" s="16" t="str">
        <x:v>Posts naming at least one programming language</x:v>
      </x:c>
      <x:c r="D5" s="8" t="n">
        <x:v>20</x:v>
      </x:c>
      <x:c r="E5" s="8" t="n">
        <x:v>22</x:v>
      </x:c>
      <x:c r="F5" s="42" t="n">
        <x:f>D5/E5</x:f>
        <x:v>0.9090909090909091</x:v>
      </x:c>
      <x:c r="G5" s="16" t="str">
        <x:v>Supported</x:v>
      </x:c>
      <x:c r="H5" s="16" t="str">
        <x:v>Keep named-language evidence central, but avoid privileging one language without track-specific justification.</x:v>
      </x:c>
    </x:row>
    <x:row r="6" ht="68" customHeight="1">
      <x:c r="A6" s="9" t="str">
        <x:v>SE</x:v>
      </x:c>
      <x:c r="B6" s="17" t="str">
        <x:v>Missing Git should cap Core Technical Skills below the strong band.</x:v>
      </x:c>
      <x:c r="C6" s="17" t="str">
        <x:v>Posts explicitly naming Git/GitHub</x:v>
      </x:c>
      <x:c r="D6" s="9" t="n">
        <x:v>11</x:v>
      </x:c>
      <x:c r="E6" s="9" t="n">
        <x:v>22</x:v>
      </x:c>
      <x:c r="F6" s="43" t="n">
        <x:f>D6/E6</x:f>
        <x:v>0.5</x:v>
      </x:c>
      <x:c r="G6" s="17" t="str">
        <x:v>Partially supported</x:v>
      </x:c>
      <x:c r="H6" s="17" t="str">
        <x:v>Should Git remain a material signal but lose the absolute category cap because only half of adverts name it?</x:v>
      </x:c>
    </x:row>
    <x:row r="7" ht="68" customHeight="1">
      <x:c r="A7" s="9" t="str">
        <x:v>SE</x:v>
      </x:c>
      <x:c r="B7" s="17" t="str">
        <x:v>A named framework is important for strong tool readiness.</x:v>
      </x:c>
      <x:c r="C7" s="17" t="str">
        <x:v>Posts naming at least one framework/library</x:v>
      </x:c>
      <x:c r="D7" s="9" t="n">
        <x:v>14</x:v>
      </x:c>
      <x:c r="E7" s="9" t="n">
        <x:v>22</x:v>
      </x:c>
      <x:c r="F7" s="43" t="n">
        <x:f>D7/E7</x:f>
        <x:v>0.6363636363636364</x:v>
      </x:c>
      <x:c r="G7" s="17" t="str">
        <x:v>Partially supported</x:v>
      </x:c>
      <x:c r="H7" s="17" t="str">
        <x:v>Should framework evidence strengthen a score without being mandatory for every entry-level role?</x:v>
      </x:c>
    </x:row>
    <x:row r="8" ht="68" customHeight="1">
      <x:c r="A8" s="9" t="str">
        <x:v>SE</x:v>
      </x:c>
      <x:c r="B8" s="17" t="str">
        <x:v>Deployment awareness is a useful differentiator rather than a baseline requirement.</x:v>
      </x:c>
      <x:c r="C8" s="17" t="str">
        <x:v>Posts naming AWS, Azure or Docker</x:v>
      </x:c>
      <x:c r="D8" s="9" t="n">
        <x:v>8</x:v>
      </x:c>
      <x:c r="E8" s="9" t="n">
        <x:v>22</x:v>
      </x:c>
      <x:c r="F8" s="43" t="n">
        <x:f>D8/E8</x:f>
        <x:v>0.36363636363636365</x:v>
      </x:c>
      <x:c r="G8" s="17" t="str">
        <x:v>Supported</x:v>
      </x:c>
      <x:c r="H8" s="17" t="str">
        <x:v>Retain deployment as bonus evidence and define a modest maximum contribution.</x:v>
      </x:c>
    </x:row>
    <x:row r="9" ht="68" customHeight="1">
      <x:c r="A9" s="9" t="str">
        <x:v>SE</x:v>
      </x:c>
      <x:c r="B9" s="17" t="str">
        <x:v>Project and portfolio proof warrants 25% of the total readiness score.</x:v>
      </x:c>
      <x:c r="C9" s="17" t="str">
        <x:v>Posts explicitly requesting portfolio/GitHub proof</x:v>
      </x:c>
      <x:c r="D9" s="9" t="n">
        <x:v>3</x:v>
      </x:c>
      <x:c r="E9" s="9" t="n">
        <x:v>22</x:v>
      </x:c>
      <x:c r="F9" s="43" t="n">
        <x:f>D9/E9</x:f>
        <x:v>0.13636363636363635</x:v>
      </x:c>
      <x:c r="G9" s="17" t="str">
        <x:v>Challenged</x:v>
      </x:c>
      <x:c r="H9" s="17" t="str">
        <x:v>Is 25 points proportionate, or should portfolio proof remain valuable without dominating direct employer evidence?</x:v>
      </x:c>
    </x:row>
    <x:row r="10" ht="68" customHeight="1">
      <x:c r="A10" s="9" t="str">
        <x:v>SE</x:v>
      </x:c>
      <x:c r="B10" s="17" t="str">
        <x:v>README quality, repository organisation and deployment quality indicate readiness.</x:v>
      </x:c>
      <x:c r="C10" s="17" t="str">
        <x:v>Not directly observable in structured job-post fields</x:v>
      </x:c>
      <x:c r="D10" s="9"/>
      <x:c r="E10" s="9"/>
      <x:c r="F10" s="43"/>
      <x:c r="G10" s="17" t="str">
        <x:v>Not measurable from job-post data</x:v>
      </x:c>
      <x:c r="H10" s="17" t="str">
        <x:v>Retain as product judgment, validate through candidate testing, and avoid claiming market validation.</x:v>
      </x:c>
    </x:row>
    <x:row r="11" ht="68" customHeight="1">
      <x:c r="A11" s="9" t="str">
        <x:v>DA</x:v>
      </x:c>
      <x:c r="B11" s="17" t="str">
        <x:v>SQL is the most important entry-level technical skill and missing it should cap the strong band.</x:v>
      </x:c>
      <x:c r="C11" s="17" t="str">
        <x:v>Posts explicitly naming SQL</x:v>
      </x:c>
      <x:c r="D11" s="9" t="n">
        <x:v>13</x:v>
      </x:c>
      <x:c r="E11" s="9" t="n">
        <x:v>16</x:v>
      </x:c>
      <x:c r="F11" s="43" t="n">
        <x:f>D11/E11</x:f>
        <x:v>0.8125</x:v>
      </x:c>
      <x:c r="G11" s="17" t="str">
        <x:v>Supported</x:v>
      </x:c>
      <x:c r="H11" s="17" t="str">
        <x:v>Keep SQL central; decide whether 81.3% prevalence justifies the current hard cap or a steep scoring penalty.</x:v>
      </x:c>
    </x:row>
    <x:row r="12" ht="68" customHeight="1">
      <x:c r="A12" s="9" t="str">
        <x:v>DA</x:v>
      </x:c>
      <x:c r="B12" s="17" t="str">
        <x:v>Excel or spreadsheet capability is foundational.</x:v>
      </x:c>
      <x:c r="C12" s="17" t="str">
        <x:v>Posts naming Excel in any captured skill/tool field</x:v>
      </x:c>
      <x:c r="D12" s="9" t="n">
        <x:v>10</x:v>
      </x:c>
      <x:c r="E12" s="9" t="n">
        <x:v>16</x:v>
      </x:c>
      <x:c r="F12" s="43" t="n">
        <x:f>D12/E12</x:f>
        <x:v>0.625</x:v>
      </x:c>
      <x:c r="G12" s="17" t="str">
        <x:v>Partially supported</x:v>
      </x:c>
      <x:c r="H12" s="17" t="str">
        <x:v>Keep Excel important but distinguish basic listing from advanced analytical use.</x:v>
      </x:c>
    </x:row>
    <x:row r="13" ht="68" customHeight="1">
      <x:c r="A13" s="9" t="str">
        <x:v>DA</x:v>
      </x:c>
      <x:c r="B13" s="17" t="str">
        <x:v>Power BI is the leading BI differentiator in the South African sample.</x:v>
      </x:c>
      <x:c r="C13" s="17" t="str">
        <x:v>Power BI mentions (compared with Tableau)</x:v>
      </x:c>
      <x:c r="D13" s="9" t="n">
        <x:v>13</x:v>
      </x:c>
      <x:c r="E13" s="9" t="n">
        <x:v>16</x:v>
      </x:c>
      <x:c r="F13" s="43" t="n">
        <x:f>D13/E13</x:f>
        <x:v>0.8125</x:v>
      </x:c>
      <x:c r="G13" s="17" t="str">
        <x:v>Supported</x:v>
      </x:c>
      <x:c r="H13" s="17" t="str">
        <x:v>Keep Power BI prominent while allowing equivalent BI tools to earn substantial credit.</x:v>
      </x:c>
    </x:row>
    <x:row r="14" ht="68" customHeight="1">
      <x:c r="A14" s="9" t="str">
        <x:v>DA</x:v>
      </x:c>
      <x:c r="B14" s="17" t="str">
        <x:v>Python is valuable but not universally required.</x:v>
      </x:c>
      <x:c r="C14" s="17" t="str">
        <x:v>Posts naming Python</x:v>
      </x:c>
      <x:c r="D14" s="9" t="n">
        <x:v>8</x:v>
      </x:c>
      <x:c r="E14" s="9" t="n">
        <x:v>16</x:v>
      </x:c>
      <x:c r="F14" s="43" t="n">
        <x:f>D14/E14</x:f>
        <x:v>0.5</x:v>
      </x:c>
      <x:c r="G14" s="17" t="str">
        <x:v>Supported</x:v>
      </x:c>
      <x:c r="H14" s="17" t="str">
        <x:v>Keep Python as a strong secondary skill rather than a prerequisite for a strong overall score.</x:v>
      </x:c>
    </x:row>
    <x:row r="15" ht="68" customHeight="1">
      <x:c r="A15" s="9" t="str">
        <x:v>DA</x:v>
      </x:c>
      <x:c r="B15" s="17" t="str">
        <x:v>Data cleaning is a central market requirement.</x:v>
      </x:c>
      <x:c r="C15" s="17" t="str">
        <x:v>Posts explicitly coded with Data Cleaning</x:v>
      </x:c>
      <x:c r="D15" s="9" t="n">
        <x:v>1</x:v>
      </x:c>
      <x:c r="E15" s="9" t="n">
        <x:v>16</x:v>
      </x:c>
      <x:c r="F15" s="43" t="n">
        <x:f>D15/E15</x:f>
        <x:v>0.0625</x:v>
      </x:c>
      <x:c r="G15" s="17" t="str">
        <x:v>Insufficient evidence</x:v>
      </x:c>
      <x:c r="H15" s="17" t="str">
        <x:v>Do not remove the competency solely because the structured field captured it rarely; verify against fuller wording or candidate testing.</x:v>
      </x:c>
    </x:row>
    <x:row r="16" ht="68" customHeight="1">
      <x:c r="A16" s="9" t="str">
        <x:v>DA</x:v>
      </x:c>
      <x:c r="B16" s="17" t="str">
        <x:v>Project and portfolio proof warrants 20% of the readiness score.</x:v>
      </x:c>
      <x:c r="C16" s="17" t="str">
        <x:v>Posts explicitly requesting portfolio/GitHub proof</x:v>
      </x:c>
      <x:c r="D16" s="9" t="n">
        <x:v>1</x:v>
      </x:c>
      <x:c r="E16" s="9" t="n">
        <x:v>16</x:v>
      </x:c>
      <x:c r="F16" s="43" t="n">
        <x:f>D16/E16</x:f>
        <x:v>0.0625</x:v>
      </x:c>
      <x:c r="G16" s="17" t="str">
        <x:v>Challenged</x:v>
      </x:c>
      <x:c r="H16" s="17" t="str">
        <x:v>Reduce or reframe the weight unless candidate testing shows portfolio proof predicts report usefulness.</x:v>
      </x:c>
    </x:row>
    <x:row r="17" ht="68" customHeight="1">
      <x:c r="A17" s="9" t="str">
        <x:v>Both</x:v>
      </x:c>
      <x:c r="B17" s="17" t="str">
        <x:v>CV structure, clarity and specificity can be market-validated from job posts.</x:v>
      </x:c>
      <x:c r="C17" s="17" t="str">
        <x:v>Candidate-CV quality is not observable in job adverts</x:v>
      </x:c>
      <x:c r="D17" s="9"/>
      <x:c r="E17" s="9"/>
      <x:c r="F17" s="43"/>
      <x:c r="G17" s="17" t="str">
        <x:v>Not measurable from job-post data</x:v>
      </x:c>
      <x:c r="H17" s="17" t="str">
        <x:v>Retain only as an assessment-quality criterion and validate during end-to-end candidate testing.</x:v>
      </x:c>
    </x:row>
  </x:sheetData>
  <x:mergeCells>
    <x:mergeCell ref="A1:H1"/>
    <x:mergeCell ref="A2:H2"/>
  </x:mergeCells>
  <x:conditionalFormatting sqref="G5:G17">
    <x:cfRule type="containsText" dxfId="0" priority="1" operator="containsText" text="Supported"/>
    <x:cfRule type="containsText" dxfId="1" priority="2" operator="containsText" text="Challenged"/>
    <x:cfRule type="containsText" dxfId="2" priority="3" operator="containsText" text="Not measurable"/>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22" hidden="0" customWidth="1"/>
    <x:col min="4" max="4" width="30" hidden="0" customWidth="1"/>
  </x:cols>
  <x:sheetData>
    <x:row r="1">
      <x:c r="A1" s="5" t="str">
        <x:v>Track</x:v>
      </x:c>
      <x:c r="B1" s="5" t="str">
        <x:v>Post ID</x:v>
      </x:c>
      <x:c r="C1" s="5" t="str">
        <x:v>Dimension</x:v>
      </x:c>
      <x:c r="D1" s="5" t="str">
        <x:v>Skill / tool</x:v>
      </x:c>
    </x:row>
    <x:row r="2">
      <x:c r="A2" s="8" t="str">
        <x:v>SE</x:v>
      </x:c>
      <x:c r="B2" s="8" t="str">
        <x:v>SE-001</x:v>
      </x:c>
      <x:c r="C2" s="8" t="str">
        <x:v>languages</x:v>
      </x:c>
      <x:c r="D2" s="8" t="str">
        <x:v>C#</x:v>
      </x:c>
    </x:row>
    <x:row r="3">
      <x:c r="A3" s="9" t="str">
        <x:v>SE</x:v>
      </x:c>
      <x:c r="B3" s="9" t="str">
        <x:v>SE-001</x:v>
      </x:c>
      <x:c r="C3" s="9" t="str">
        <x:v>languages</x:v>
      </x:c>
      <x:c r="D3" s="9" t="str">
        <x:v>SQL</x:v>
      </x:c>
    </x:row>
    <x:row r="4">
      <x:c r="A4" s="9" t="str">
        <x:v>SE</x:v>
      </x:c>
      <x:c r="B4" s="9" t="str">
        <x:v>SE-001</x:v>
      </x:c>
      <x:c r="C4" s="9" t="str">
        <x:v>frameworks</x:v>
      </x:c>
      <x:c r="D4" s="9" t="str">
        <x:v>.NET</x:v>
      </x:c>
    </x:row>
    <x:row r="5">
      <x:c r="A5" s="9" t="str">
        <x:v>SE</x:v>
      </x:c>
      <x:c r="B5" s="9" t="str">
        <x:v>SE-001</x:v>
      </x:c>
      <x:c r="C5" s="9" t="str">
        <x:v>tools</x:v>
      </x:c>
      <x:c r="D5" s="9" t="str">
        <x:v>SQL Server</x:v>
      </x:c>
    </x:row>
    <x:row r="6">
      <x:c r="A6" s="9" t="str">
        <x:v>SE</x:v>
      </x:c>
      <x:c r="B6" s="9" t="str">
        <x:v>SE-002</x:v>
      </x:c>
      <x:c r="C6" s="9" t="str">
        <x:v>languages</x:v>
      </x:c>
      <x:c r="D6" s="9" t="str">
        <x:v>C#</x:v>
      </x:c>
    </x:row>
    <x:row r="7">
      <x:c r="A7" s="9" t="str">
        <x:v>SE</x:v>
      </x:c>
      <x:c r="B7" s="9" t="str">
        <x:v>SE-002</x:v>
      </x:c>
      <x:c r="C7" s="9" t="str">
        <x:v>languages</x:v>
      </x:c>
      <x:c r="D7" s="9" t="str">
        <x:v>Java</x:v>
      </x:c>
    </x:row>
    <x:row r="8">
      <x:c r="A8" s="9" t="str">
        <x:v>SE</x:v>
      </x:c>
      <x:c r="B8" s="9" t="str">
        <x:v>SE-002</x:v>
      </x:c>
      <x:c r="C8" s="9" t="str">
        <x:v>languages</x:v>
      </x:c>
      <x:c r="D8" s="9" t="str">
        <x:v>Python</x:v>
      </x:c>
    </x:row>
    <x:row r="9">
      <x:c r="A9" s="9" t="str">
        <x:v>SE</x:v>
      </x:c>
      <x:c r="B9" s="9" t="str">
        <x:v>SE-002</x:v>
      </x:c>
      <x:c r="C9" s="9" t="str">
        <x:v>languages</x:v>
      </x:c>
      <x:c r="D9" s="9" t="str">
        <x:v>SQL</x:v>
      </x:c>
    </x:row>
    <x:row r="10">
      <x:c r="A10" s="9" t="str">
        <x:v>SE</x:v>
      </x:c>
      <x:c r="B10" s="9" t="str">
        <x:v>SE-002</x:v>
      </x:c>
      <x:c r="C10" s="9" t="str">
        <x:v>frameworks</x:v>
      </x:c>
      <x:c r="D10" s="9" t="str">
        <x:v>.NET</x:v>
      </x:c>
    </x:row>
    <x:row r="11">
      <x:c r="A11" s="9" t="str">
        <x:v>SE</x:v>
      </x:c>
      <x:c r="B11" s="9" t="str">
        <x:v>SE-002</x:v>
      </x:c>
      <x:c r="C11" s="9" t="str">
        <x:v>tools</x:v>
      </x:c>
      <x:c r="D11" s="9" t="str">
        <x:v>Git/GitHub</x:v>
      </x:c>
    </x:row>
    <x:row r="12">
      <x:c r="A12" s="9" t="str">
        <x:v>SE</x:v>
      </x:c>
      <x:c r="B12" s="9" t="str">
        <x:v>SE-002</x:v>
      </x:c>
      <x:c r="C12" s="9" t="str">
        <x:v>tools</x:v>
      </x:c>
      <x:c r="D12" s="9" t="str">
        <x:v>Azure</x:v>
      </x:c>
    </x:row>
    <x:row r="13">
      <x:c r="A13" s="9" t="str">
        <x:v>SE</x:v>
      </x:c>
      <x:c r="B13" s="9" t="str">
        <x:v>SE-002</x:v>
      </x:c>
      <x:c r="C13" s="9" t="str">
        <x:v>tools</x:v>
      </x:c>
      <x:c r="D13" s="9" t="str">
        <x:v>Docker</x:v>
      </x:c>
    </x:row>
    <x:row r="14">
      <x:c r="A14" s="9" t="str">
        <x:v>SE</x:v>
      </x:c>
      <x:c r="B14" s="9" t="str">
        <x:v>SE-004</x:v>
      </x:c>
      <x:c r="C14" s="9" t="str">
        <x:v>languages</x:v>
      </x:c>
      <x:c r="D14" s="9" t="str">
        <x:v>C#</x:v>
      </x:c>
    </x:row>
    <x:row r="15">
      <x:c r="A15" s="9" t="str">
        <x:v>SE</x:v>
      </x:c>
      <x:c r="B15" s="9" t="str">
        <x:v>SE-004</x:v>
      </x:c>
      <x:c r="C15" s="9" t="str">
        <x:v>languages</x:v>
      </x:c>
      <x:c r="D15" s="9" t="str">
        <x:v>Java</x:v>
      </x:c>
    </x:row>
    <x:row r="16">
      <x:c r="A16" s="9" t="str">
        <x:v>SE</x:v>
      </x:c>
      <x:c r="B16" s="9" t="str">
        <x:v>SE-004</x:v>
      </x:c>
      <x:c r="C16" s="9" t="str">
        <x:v>languages</x:v>
      </x:c>
      <x:c r="D16" s="9" t="str">
        <x:v>Python</x:v>
      </x:c>
    </x:row>
    <x:row r="17">
      <x:c r="A17" s="9" t="str">
        <x:v>SE</x:v>
      </x:c>
      <x:c r="B17" s="9" t="str">
        <x:v>SE-004</x:v>
      </x:c>
      <x:c r="C17" s="9" t="str">
        <x:v>tools</x:v>
      </x:c>
      <x:c r="D17" s="9" t="str">
        <x:v>Linux</x:v>
      </x:c>
    </x:row>
    <x:row r="18">
      <x:c r="A18" s="9" t="str">
        <x:v>SE</x:v>
      </x:c>
      <x:c r="B18" s="9" t="str">
        <x:v>SE-005</x:v>
      </x:c>
      <x:c r="C18" s="9" t="str">
        <x:v>languages</x:v>
      </x:c>
      <x:c r="D18" s="9" t="str">
        <x:v>C#</x:v>
      </x:c>
    </x:row>
    <x:row r="19">
      <x:c r="A19" s="9" t="str">
        <x:v>SE</x:v>
      </x:c>
      <x:c r="B19" s="9" t="str">
        <x:v>SE-005</x:v>
      </x:c>
      <x:c r="C19" s="9" t="str">
        <x:v>languages</x:v>
      </x:c>
      <x:c r="D19" s="9" t="str">
        <x:v>SQL</x:v>
      </x:c>
    </x:row>
    <x:row r="20">
      <x:c r="A20" s="9" t="str">
        <x:v>SE</x:v>
      </x:c>
      <x:c r="B20" s="9" t="str">
        <x:v>SE-005</x:v>
      </x:c>
      <x:c r="C20" s="9" t="str">
        <x:v>languages</x:v>
      </x:c>
      <x:c r="D20" s="9" t="str">
        <x:v>JavaScript</x:v>
      </x:c>
    </x:row>
    <x:row r="21">
      <x:c r="A21" s="9" t="str">
        <x:v>SE</x:v>
      </x:c>
      <x:c r="B21" s="9" t="str">
        <x:v>SE-005</x:v>
      </x:c>
      <x:c r="C21" s="9" t="str">
        <x:v>languages</x:v>
      </x:c>
      <x:c r="D21" s="9" t="str">
        <x:v>TypeScript</x:v>
      </x:c>
    </x:row>
    <x:row r="22">
      <x:c r="A22" s="9" t="str">
        <x:v>SE</x:v>
      </x:c>
      <x:c r="B22" s="9" t="str">
        <x:v>SE-005</x:v>
      </x:c>
      <x:c r="C22" s="9" t="str">
        <x:v>languages</x:v>
      </x:c>
      <x:c r="D22" s="9" t="str">
        <x:v>Java</x:v>
      </x:c>
    </x:row>
    <x:row r="23">
      <x:c r="A23" s="9" t="str">
        <x:v>SE</x:v>
      </x:c>
      <x:c r="B23" s="9" t="str">
        <x:v>SE-005</x:v>
      </x:c>
      <x:c r="C23" s="9" t="str">
        <x:v>languages</x:v>
      </x:c>
      <x:c r="D23" s="9" t="str">
        <x:v>Python</x:v>
      </x:c>
    </x:row>
    <x:row r="24">
      <x:c r="A24" s="9" t="str">
        <x:v>SE</x:v>
      </x:c>
      <x:c r="B24" s="9" t="str">
        <x:v>SE-005</x:v>
      </x:c>
      <x:c r="C24" s="9" t="str">
        <x:v>languages</x:v>
      </x:c>
      <x:c r="D24" s="9" t="str">
        <x:v>PHP</x:v>
      </x:c>
    </x:row>
    <x:row r="25">
      <x:c r="A25" s="9" t="str">
        <x:v>SE</x:v>
      </x:c>
      <x:c r="B25" s="9" t="str">
        <x:v>SE-005</x:v>
      </x:c>
      <x:c r="C25" s="9" t="str">
        <x:v>languages</x:v>
      </x:c>
      <x:c r="D25" s="9" t="str">
        <x:v>HTML/CSS</x:v>
      </x:c>
    </x:row>
    <x:row r="26">
      <x:c r="A26" s="9" t="str">
        <x:v>SE</x:v>
      </x:c>
      <x:c r="B26" s="9" t="str">
        <x:v>SE-005</x:v>
      </x:c>
      <x:c r="C26" s="9" t="str">
        <x:v>frameworks</x:v>
      </x:c>
      <x:c r="D26" s="9" t="str">
        <x:v>.NET</x:v>
      </x:c>
    </x:row>
    <x:row r="27">
      <x:c r="A27" s="9" t="str">
        <x:v>SE</x:v>
      </x:c>
      <x:c r="B27" s="9" t="str">
        <x:v>SE-005</x:v>
      </x:c>
      <x:c r="C27" s="9" t="str">
        <x:v>frameworks</x:v>
      </x:c>
      <x:c r="D27" s="9" t="str">
        <x:v>React</x:v>
      </x:c>
    </x:row>
    <x:row r="28">
      <x:c r="A28" s="9" t="str">
        <x:v>SE</x:v>
      </x:c>
      <x:c r="B28" s="9" t="str">
        <x:v>SE-005</x:v>
      </x:c>
      <x:c r="C28" s="9" t="str">
        <x:v>frameworks</x:v>
      </x:c>
      <x:c r="D28" s="9" t="str">
        <x:v>Angular</x:v>
      </x:c>
    </x:row>
    <x:row r="29">
      <x:c r="A29" s="9" t="str">
        <x:v>SE</x:v>
      </x:c>
      <x:c r="B29" s="9" t="str">
        <x:v>SE-005</x:v>
      </x:c>
      <x:c r="C29" s="9" t="str">
        <x:v>frameworks</x:v>
      </x:c>
      <x:c r="D29" s="9" t="str">
        <x:v>Django</x:v>
      </x:c>
    </x:row>
    <x:row r="30">
      <x:c r="A30" s="9" t="str">
        <x:v>SE</x:v>
      </x:c>
      <x:c r="B30" s="9" t="str">
        <x:v>SE-005</x:v>
      </x:c>
      <x:c r="C30" s="9" t="str">
        <x:v>tools</x:v>
      </x:c>
      <x:c r="D30" s="9" t="str">
        <x:v>Azure</x:v>
      </x:c>
    </x:row>
    <x:row r="31">
      <x:c r="A31" s="9" t="str">
        <x:v>SE</x:v>
      </x:c>
      <x:c r="B31" s="9" t="str">
        <x:v>SE-005</x:v>
      </x:c>
      <x:c r="C31" s="9" t="str">
        <x:v>tools</x:v>
      </x:c>
      <x:c r="D31" s="9" t="str">
        <x:v>Git/GitHub</x:v>
      </x:c>
    </x:row>
    <x:row r="32">
      <x:c r="A32" s="9" t="str">
        <x:v>SE</x:v>
      </x:c>
      <x:c r="B32" s="9" t="str">
        <x:v>SE-005</x:v>
      </x:c>
      <x:c r="C32" s="9" t="str">
        <x:v>tools</x:v>
      </x:c>
      <x:c r="D32" s="9" t="str">
        <x:v>Jira</x:v>
      </x:c>
    </x:row>
    <x:row r="33">
      <x:c r="A33" s="9" t="str">
        <x:v>SE</x:v>
      </x:c>
      <x:c r="B33" s="9" t="str">
        <x:v>SE-005</x:v>
      </x:c>
      <x:c r="C33" s="9" t="str">
        <x:v>tools</x:v>
      </x:c>
      <x:c r="D33" s="9" t="str">
        <x:v>SQL Server</x:v>
      </x:c>
    </x:row>
    <x:row r="34">
      <x:c r="A34" s="9" t="str">
        <x:v>SE</x:v>
      </x:c>
      <x:c r="B34" s="9" t="str">
        <x:v>SE-005</x:v>
      </x:c>
      <x:c r="C34" s="9" t="str">
        <x:v>tools</x:v>
      </x:c>
      <x:c r="D34" s="9" t="str">
        <x:v>Docker</x:v>
      </x:c>
    </x:row>
    <x:row r="35">
      <x:c r="A35" s="9" t="str">
        <x:v>SE</x:v>
      </x:c>
      <x:c r="B35" s="9" t="str">
        <x:v>SE-005</x:v>
      </x:c>
      <x:c r="C35" s="9" t="str">
        <x:v>tools</x:v>
      </x:c>
      <x:c r="D35" s="9" t="str">
        <x:v>AWS</x:v>
      </x:c>
    </x:row>
    <x:row r="36">
      <x:c r="A36" s="9" t="str">
        <x:v>SE</x:v>
      </x:c>
      <x:c r="B36" s="9" t="str">
        <x:v>SE-007</x:v>
      </x:c>
      <x:c r="C36" s="9" t="str">
        <x:v>languages</x:v>
      </x:c>
      <x:c r="D36" s="9" t="str">
        <x:v>HTML/CSS</x:v>
      </x:c>
    </x:row>
    <x:row r="37">
      <x:c r="A37" s="9" t="str">
        <x:v>SE</x:v>
      </x:c>
      <x:c r="B37" s="9" t="str">
        <x:v>SE-007</x:v>
      </x:c>
      <x:c r="C37" s="9" t="str">
        <x:v>languages</x:v>
      </x:c>
      <x:c r="D37" s="9" t="str">
        <x:v>JavaScript</x:v>
      </x:c>
    </x:row>
    <x:row r="38">
      <x:c r="A38" s="9" t="str">
        <x:v>SE</x:v>
      </x:c>
      <x:c r="B38" s="9" t="str">
        <x:v>SE-007</x:v>
      </x:c>
      <x:c r="C38" s="9" t="str">
        <x:v>languages</x:v>
      </x:c>
      <x:c r="D38" s="9" t="str">
        <x:v>C#</x:v>
      </x:c>
    </x:row>
    <x:row r="39">
      <x:c r="A39" s="9" t="str">
        <x:v>SE</x:v>
      </x:c>
      <x:c r="B39" s="9" t="str">
        <x:v>SE-007</x:v>
      </x:c>
      <x:c r="C39" s="9" t="str">
        <x:v>languages</x:v>
      </x:c>
      <x:c r="D39" s="9" t="str">
        <x:v>PHP</x:v>
      </x:c>
    </x:row>
    <x:row r="40">
      <x:c r="A40" s="9" t="str">
        <x:v>SE</x:v>
      </x:c>
      <x:c r="B40" s="9" t="str">
        <x:v>SE-007</x:v>
      </x:c>
      <x:c r="C40" s="9" t="str">
        <x:v>languages</x:v>
      </x:c>
      <x:c r="D40" s="9" t="str">
        <x:v>Java</x:v>
      </x:c>
    </x:row>
    <x:row r="41">
      <x:c r="A41" s="9" t="str">
        <x:v>SE</x:v>
      </x:c>
      <x:c r="B41" s="9" t="str">
        <x:v>SE-007</x:v>
      </x:c>
      <x:c r="C41" s="9" t="str">
        <x:v>languages</x:v>
      </x:c>
      <x:c r="D41" s="9" t="str">
        <x:v>Python</x:v>
      </x:c>
    </x:row>
    <x:row r="42">
      <x:c r="A42" s="9" t="str">
        <x:v>SE</x:v>
      </x:c>
      <x:c r="B42" s="9" t="str">
        <x:v>SE-007</x:v>
      </x:c>
      <x:c r="C42" s="9" t="str">
        <x:v>frameworks</x:v>
      </x:c>
      <x:c r="D42" s="9" t="str">
        <x:v>React</x:v>
      </x:c>
    </x:row>
    <x:row r="43">
      <x:c r="A43" s="9" t="str">
        <x:v>SE</x:v>
      </x:c>
      <x:c r="B43" s="9" t="str">
        <x:v>SE-007</x:v>
      </x:c>
      <x:c r="C43" s="9" t="str">
        <x:v>frameworks</x:v>
      </x:c>
      <x:c r="D43" s="9" t="str">
        <x:v>.NET</x:v>
      </x:c>
    </x:row>
    <x:row r="44">
      <x:c r="A44" s="9" t="str">
        <x:v>SE</x:v>
      </x:c>
      <x:c r="B44" s="9" t="str">
        <x:v>SE-007</x:v>
      </x:c>
      <x:c r="C44" s="9" t="str">
        <x:v>frameworks</x:v>
      </x:c>
      <x:c r="D44" s="9" t="str">
        <x:v>Django</x:v>
      </x:c>
    </x:row>
    <x:row r="45">
      <x:c r="A45" s="9" t="str">
        <x:v>SE</x:v>
      </x:c>
      <x:c r="B45" s="9" t="str">
        <x:v>SE-008</x:v>
      </x:c>
      <x:c r="C45" s="9" t="str">
        <x:v>languages</x:v>
      </x:c>
      <x:c r="D45" s="9" t="str">
        <x:v>Python</x:v>
      </x:c>
    </x:row>
    <x:row r="46">
      <x:c r="A46" s="9" t="str">
        <x:v>SE</x:v>
      </x:c>
      <x:c r="B46" s="9" t="str">
        <x:v>SE-008</x:v>
      </x:c>
      <x:c r="C46" s="9" t="str">
        <x:v>languages</x:v>
      </x:c>
      <x:c r="D46" s="9" t="str">
        <x:v>TypeScript</x:v>
      </x:c>
    </x:row>
    <x:row r="47">
      <x:c r="A47" s="9" t="str">
        <x:v>SE</x:v>
      </x:c>
      <x:c r="B47" s="9" t="str">
        <x:v>SE-008</x:v>
      </x:c>
      <x:c r="C47" s="9" t="str">
        <x:v>languages</x:v>
      </x:c>
      <x:c r="D47" s="9" t="str">
        <x:v>JavaScript</x:v>
      </x:c>
    </x:row>
    <x:row r="48">
      <x:c r="A48" s="9" t="str">
        <x:v>SE</x:v>
      </x:c>
      <x:c r="B48" s="9" t="str">
        <x:v>SE-008</x:v>
      </x:c>
      <x:c r="C48" s="9" t="str">
        <x:v>languages</x:v>
      </x:c>
      <x:c r="D48" s="9" t="str">
        <x:v>C#</x:v>
      </x:c>
    </x:row>
    <x:row r="49">
      <x:c r="A49" s="9" t="str">
        <x:v>SE</x:v>
      </x:c>
      <x:c r="B49" s="9" t="str">
        <x:v>SE-008</x:v>
      </x:c>
      <x:c r="C49" s="9" t="str">
        <x:v>languages</x:v>
      </x:c>
      <x:c r="D49" s="9" t="str">
        <x:v>Java</x:v>
      </x:c>
    </x:row>
    <x:row r="50">
      <x:c r="A50" s="9" t="str">
        <x:v>SE</x:v>
      </x:c>
      <x:c r="B50" s="9" t="str">
        <x:v>SE-008</x:v>
      </x:c>
      <x:c r="C50" s="9" t="str">
        <x:v>frameworks</x:v>
      </x:c>
      <x:c r="D50" s="9" t="str">
        <x:v>React</x:v>
      </x:c>
    </x:row>
    <x:row r="51">
      <x:c r="A51" s="9" t="str">
        <x:v>SE</x:v>
      </x:c>
      <x:c r="B51" s="9" t="str">
        <x:v>SE-008</x:v>
      </x:c>
      <x:c r="C51" s="9" t="str">
        <x:v>frameworks</x:v>
      </x:c>
      <x:c r="D51" s="9" t="str">
        <x:v>.NET</x:v>
      </x:c>
    </x:row>
    <x:row r="52">
      <x:c r="A52" s="9" t="str">
        <x:v>SE</x:v>
      </x:c>
      <x:c r="B52" s="9" t="str">
        <x:v>SE-008</x:v>
      </x:c>
      <x:c r="C52" s="9" t="str">
        <x:v>tools</x:v>
      </x:c>
      <x:c r="D52" s="9" t="str">
        <x:v>Azure</x:v>
      </x:c>
    </x:row>
    <x:row r="53">
      <x:c r="A53" s="9" t="str">
        <x:v>SE</x:v>
      </x:c>
      <x:c r="B53" s="9" t="str">
        <x:v>SE-008</x:v>
      </x:c>
      <x:c r="C53" s="9" t="str">
        <x:v>tools</x:v>
      </x:c>
      <x:c r="D53" s="9" t="str">
        <x:v>Git/GitHub</x:v>
      </x:c>
    </x:row>
    <x:row r="54">
      <x:c r="A54" s="9" t="str">
        <x:v>SE</x:v>
      </x:c>
      <x:c r="B54" s="9" t="str">
        <x:v>SE-008</x:v>
      </x:c>
      <x:c r="C54" s="9" t="str">
        <x:v>tools</x:v>
      </x:c>
      <x:c r="D54" s="9" t="str">
        <x:v>AWS</x:v>
      </x:c>
    </x:row>
    <x:row r="55">
      <x:c r="A55" s="9" t="str">
        <x:v>SE</x:v>
      </x:c>
      <x:c r="B55" s="9" t="str">
        <x:v>SE-011</x:v>
      </x:c>
      <x:c r="C55" s="9" t="str">
        <x:v>languages</x:v>
      </x:c>
      <x:c r="D55" s="9" t="str">
        <x:v>JavaScript</x:v>
      </x:c>
    </x:row>
    <x:row r="56">
      <x:c r="A56" s="9" t="str">
        <x:v>SE</x:v>
      </x:c>
      <x:c r="B56" s="9" t="str">
        <x:v>SE-011</x:v>
      </x:c>
      <x:c r="C56" s="9" t="str">
        <x:v>languages</x:v>
      </x:c>
      <x:c r="D56" s="9" t="str">
        <x:v>Python</x:v>
      </x:c>
    </x:row>
    <x:row r="57">
      <x:c r="A57" s="9" t="str">
        <x:v>SE</x:v>
      </x:c>
      <x:c r="B57" s="9" t="str">
        <x:v>SE-011</x:v>
      </x:c>
      <x:c r="C57" s="9" t="str">
        <x:v>languages</x:v>
      </x:c>
      <x:c r="D57" s="9" t="str">
        <x:v>Java</x:v>
      </x:c>
    </x:row>
    <x:row r="58">
      <x:c r="A58" s="9" t="str">
        <x:v>SE</x:v>
      </x:c>
      <x:c r="B58" s="9" t="str">
        <x:v>SE-011</x:v>
      </x:c>
      <x:c r="C58" s="9" t="str">
        <x:v>languages</x:v>
      </x:c>
      <x:c r="D58" s="9" t="str">
        <x:v>C#</x:v>
      </x:c>
    </x:row>
    <x:row r="59">
      <x:c r="A59" s="9" t="str">
        <x:v>SE</x:v>
      </x:c>
      <x:c r="B59" s="9" t="str">
        <x:v>SE-011</x:v>
      </x:c>
      <x:c r="C59" s="9" t="str">
        <x:v>languages</x:v>
      </x:c>
      <x:c r="D59" s="9" t="str">
        <x:v>HTML/CSS</x:v>
      </x:c>
    </x:row>
    <x:row r="60">
      <x:c r="A60" s="9" t="str">
        <x:v>SE</x:v>
      </x:c>
      <x:c r="B60" s="9" t="str">
        <x:v>SE-011</x:v>
      </x:c>
      <x:c r="C60" s="9" t="str">
        <x:v>languages</x:v>
      </x:c>
      <x:c r="D60" s="9" t="str">
        <x:v>SQL</x:v>
      </x:c>
    </x:row>
    <x:row r="61">
      <x:c r="A61" s="9" t="str">
        <x:v>SE</x:v>
      </x:c>
      <x:c r="B61" s="9" t="str">
        <x:v>SE-011</x:v>
      </x:c>
      <x:c r="C61" s="9" t="str">
        <x:v>tools</x:v>
      </x:c>
      <x:c r="D61" s="9" t="str">
        <x:v>Git/GitHub</x:v>
      </x:c>
    </x:row>
    <x:row r="62">
      <x:c r="A62" s="9" t="str">
        <x:v>SE</x:v>
      </x:c>
      <x:c r="B62" s="9" t="str">
        <x:v>SE-011</x:v>
      </x:c>
      <x:c r="C62" s="9" t="str">
        <x:v>tools</x:v>
      </x:c>
      <x:c r="D62" s="9" t="str">
        <x:v>PostgreSQL</x:v>
      </x:c>
    </x:row>
    <x:row r="63">
      <x:c r="A63" s="9" t="str">
        <x:v>SE</x:v>
      </x:c>
      <x:c r="B63" s="9" t="str">
        <x:v>SE-012</x:v>
      </x:c>
      <x:c r="C63" s="9" t="str">
        <x:v>languages</x:v>
      </x:c>
      <x:c r="D63" s="9" t="str">
        <x:v>Python</x:v>
      </x:c>
    </x:row>
    <x:row r="64">
      <x:c r="A64" s="9" t="str">
        <x:v>SE</x:v>
      </x:c>
      <x:c r="B64" s="9" t="str">
        <x:v>SE-012</x:v>
      </x:c>
      <x:c r="C64" s="9" t="str">
        <x:v>languages</x:v>
      </x:c>
      <x:c r="D64" s="9" t="str">
        <x:v>C#</x:v>
      </x:c>
    </x:row>
    <x:row r="65">
      <x:c r="A65" s="9" t="str">
        <x:v>SE</x:v>
      </x:c>
      <x:c r="B65" s="9" t="str">
        <x:v>SE-012</x:v>
      </x:c>
      <x:c r="C65" s="9" t="str">
        <x:v>tools</x:v>
      </x:c>
      <x:c r="D65" s="9" t="str">
        <x:v>Git/GitHub</x:v>
      </x:c>
    </x:row>
    <x:row r="66">
      <x:c r="A66" s="9" t="str">
        <x:v>SE</x:v>
      </x:c>
      <x:c r="B66" s="9" t="str">
        <x:v>SE-013</x:v>
      </x:c>
      <x:c r="C66" s="9" t="str">
        <x:v>languages</x:v>
      </x:c>
      <x:c r="D66" s="9" t="str">
        <x:v>C#</x:v>
      </x:c>
    </x:row>
    <x:row r="67">
      <x:c r="A67" s="9" t="str">
        <x:v>SE</x:v>
      </x:c>
      <x:c r="B67" s="9" t="str">
        <x:v>SE-013</x:v>
      </x:c>
      <x:c r="C67" s="9" t="str">
        <x:v>languages</x:v>
      </x:c>
      <x:c r="D67" s="9" t="str">
        <x:v>SQL</x:v>
      </x:c>
    </x:row>
    <x:row r="68">
      <x:c r="A68" s="9" t="str">
        <x:v>SE</x:v>
      </x:c>
      <x:c r="B68" s="9" t="str">
        <x:v>SE-013</x:v>
      </x:c>
      <x:c r="C68" s="9" t="str">
        <x:v>languages</x:v>
      </x:c>
      <x:c r="D68" s="9" t="str">
        <x:v>HTML/CSS</x:v>
      </x:c>
    </x:row>
    <x:row r="69">
      <x:c r="A69" s="9" t="str">
        <x:v>SE</x:v>
      </x:c>
      <x:c r="B69" s="9" t="str">
        <x:v>SE-013</x:v>
      </x:c>
      <x:c r="C69" s="9" t="str">
        <x:v>languages</x:v>
      </x:c>
      <x:c r="D69" s="9" t="str">
        <x:v>JavaScript</x:v>
      </x:c>
    </x:row>
    <x:row r="70">
      <x:c r="A70" s="9" t="str">
        <x:v>SE</x:v>
      </x:c>
      <x:c r="B70" s="9" t="str">
        <x:v>SE-013</x:v>
      </x:c>
      <x:c r="C70" s="9" t="str">
        <x:v>languages</x:v>
      </x:c>
      <x:c r="D70" s="9" t="str">
        <x:v>TypeScript</x:v>
      </x:c>
    </x:row>
    <x:row r="71">
      <x:c r="A71" s="9" t="str">
        <x:v>SE</x:v>
      </x:c>
      <x:c r="B71" s="9" t="str">
        <x:v>SE-013</x:v>
      </x:c>
      <x:c r="C71" s="9" t="str">
        <x:v>frameworks</x:v>
      </x:c>
      <x:c r="D71" s="9" t="str">
        <x:v>Angular</x:v>
      </x:c>
    </x:row>
    <x:row r="72">
      <x:c r="A72" s="9" t="str">
        <x:v>SE</x:v>
      </x:c>
      <x:c r="B72" s="9" t="str">
        <x:v>SE-013</x:v>
      </x:c>
      <x:c r="C72" s="9" t="str">
        <x:v>frameworks</x:v>
      </x:c>
      <x:c r="D72" s="9" t="str">
        <x:v>.NET</x:v>
      </x:c>
    </x:row>
    <x:row r="73">
      <x:c r="A73" s="9" t="str">
        <x:v>SE</x:v>
      </x:c>
      <x:c r="B73" s="9" t="str">
        <x:v>SE-015</x:v>
      </x:c>
      <x:c r="C73" s="9" t="str">
        <x:v>languages</x:v>
      </x:c>
      <x:c r="D73" s="9" t="str">
        <x:v>JavaScript</x:v>
      </x:c>
    </x:row>
    <x:row r="74">
      <x:c r="A74" s="9" t="str">
        <x:v>SE</x:v>
      </x:c>
      <x:c r="B74" s="9" t="str">
        <x:v>SE-015</x:v>
      </x:c>
      <x:c r="C74" s="9" t="str">
        <x:v>languages</x:v>
      </x:c>
      <x:c r="D74" s="9" t="str">
        <x:v>C#</x:v>
      </x:c>
    </x:row>
    <x:row r="75">
      <x:c r="A75" s="9" t="str">
        <x:v>SE</x:v>
      </x:c>
      <x:c r="B75" s="9" t="str">
        <x:v>SE-015</x:v>
      </x:c>
      <x:c r="C75" s="9" t="str">
        <x:v>languages</x:v>
      </x:c>
      <x:c r="D75" s="9" t="str">
        <x:v>Python</x:v>
      </x:c>
    </x:row>
    <x:row r="76">
      <x:c r="A76" s="9" t="str">
        <x:v>SE</x:v>
      </x:c>
      <x:c r="B76" s="9" t="str">
        <x:v>SE-015</x:v>
      </x:c>
      <x:c r="C76" s="9" t="str">
        <x:v>languages</x:v>
      </x:c>
      <x:c r="D76" s="9" t="str">
        <x:v>SQL</x:v>
      </x:c>
    </x:row>
    <x:row r="77">
      <x:c r="A77" s="9" t="str">
        <x:v>SE</x:v>
      </x:c>
      <x:c r="B77" s="9" t="str">
        <x:v>SE-015</x:v>
      </x:c>
      <x:c r="C77" s="9" t="str">
        <x:v>frameworks</x:v>
      </x:c>
      <x:c r="D77" s="9" t="str">
        <x:v>.NET</x:v>
      </x:c>
    </x:row>
    <x:row r="78">
      <x:c r="A78" s="9" t="str">
        <x:v>SE</x:v>
      </x:c>
      <x:c r="B78" s="9" t="str">
        <x:v>SE-015</x:v>
      </x:c>
      <x:c r="C78" s="9" t="str">
        <x:v>frameworks</x:v>
      </x:c>
      <x:c r="D78" s="9" t="str">
        <x:v>React</x:v>
      </x:c>
    </x:row>
    <x:row r="79">
      <x:c r="A79" s="9" t="str">
        <x:v>SE</x:v>
      </x:c>
      <x:c r="B79" s="9" t="str">
        <x:v>SE-015</x:v>
      </x:c>
      <x:c r="C79" s="9" t="str">
        <x:v>tools</x:v>
      </x:c>
      <x:c r="D79" s="9" t="str">
        <x:v>Azure</x:v>
      </x:c>
    </x:row>
    <x:row r="80">
      <x:c r="A80" s="9" t="str">
        <x:v>SE</x:v>
      </x:c>
      <x:c r="B80" s="9" t="str">
        <x:v>SE-015</x:v>
      </x:c>
      <x:c r="C80" s="9" t="str">
        <x:v>tools</x:v>
      </x:c>
      <x:c r="D80" s="9" t="str">
        <x:v>MySQL</x:v>
      </x:c>
    </x:row>
    <x:row r="81">
      <x:c r="A81" s="9" t="str">
        <x:v>SE</x:v>
      </x:c>
      <x:c r="B81" s="9" t="str">
        <x:v>SE-016</x:v>
      </x:c>
      <x:c r="C81" s="9" t="str">
        <x:v>languages</x:v>
      </x:c>
      <x:c r="D81" s="9" t="str">
        <x:v>SQL</x:v>
      </x:c>
    </x:row>
    <x:row r="82">
      <x:c r="A82" s="9" t="str">
        <x:v>SE</x:v>
      </x:c>
      <x:c r="B82" s="9" t="str">
        <x:v>SE-016</x:v>
      </x:c>
      <x:c r="C82" s="9" t="str">
        <x:v>languages</x:v>
      </x:c>
      <x:c r="D82" s="9" t="str">
        <x:v>Java</x:v>
      </x:c>
    </x:row>
    <x:row r="83">
      <x:c r="A83" s="9" t="str">
        <x:v>SE</x:v>
      </x:c>
      <x:c r="B83" s="9" t="str">
        <x:v>SE-018</x:v>
      </x:c>
      <x:c r="C83" s="9" t="str">
        <x:v>languages</x:v>
      </x:c>
      <x:c r="D83" s="9" t="str">
        <x:v>HTML/CSS</x:v>
      </x:c>
    </x:row>
    <x:row r="84">
      <x:c r="A84" s="9" t="str">
        <x:v>SE</x:v>
      </x:c>
      <x:c r="B84" s="9" t="str">
        <x:v>SE-018</x:v>
      </x:c>
      <x:c r="C84" s="9" t="str">
        <x:v>languages</x:v>
      </x:c>
      <x:c r="D84" s="9" t="str">
        <x:v>JavaScript</x:v>
      </x:c>
    </x:row>
    <x:row r="85">
      <x:c r="A85" s="9" t="str">
        <x:v>SE</x:v>
      </x:c>
      <x:c r="B85" s="9" t="str">
        <x:v>SE-020</x:v>
      </x:c>
      <x:c r="C85" s="9" t="str">
        <x:v>languages</x:v>
      </x:c>
      <x:c r="D85" s="9" t="str">
        <x:v>SQL</x:v>
      </x:c>
    </x:row>
    <x:row r="86">
      <x:c r="A86" s="9" t="str">
        <x:v>SE</x:v>
      </x:c>
      <x:c r="B86" s="9" t="str">
        <x:v>SE-020</x:v>
      </x:c>
      <x:c r="C86" s="9" t="str">
        <x:v>languages</x:v>
      </x:c>
      <x:c r="D86" s="9" t="str">
        <x:v>Java</x:v>
      </x:c>
    </x:row>
    <x:row r="87">
      <x:c r="A87" s="9" t="str">
        <x:v>SE</x:v>
      </x:c>
      <x:c r="B87" s="9" t="str">
        <x:v>SE-020</x:v>
      </x:c>
      <x:c r="C87" s="9" t="str">
        <x:v>frameworks</x:v>
      </x:c>
      <x:c r="D87" s="9" t="str">
        <x:v>Spring</x:v>
      </x:c>
    </x:row>
    <x:row r="88">
      <x:c r="A88" s="9" t="str">
        <x:v>SE</x:v>
      </x:c>
      <x:c r="B88" s="9" t="str">
        <x:v>SE-020</x:v>
      </x:c>
      <x:c r="C88" s="9" t="str">
        <x:v>tools</x:v>
      </x:c>
      <x:c r="D88" s="9" t="str">
        <x:v>AWS</x:v>
      </x:c>
    </x:row>
    <x:row r="89">
      <x:c r="A89" s="9" t="str">
        <x:v>SE</x:v>
      </x:c>
      <x:c r="B89" s="9" t="str">
        <x:v>SE-020</x:v>
      </x:c>
      <x:c r="C89" s="9" t="str">
        <x:v>tools</x:v>
      </x:c>
      <x:c r="D89" s="9" t="str">
        <x:v>Postman</x:v>
      </x:c>
    </x:row>
    <x:row r="90">
      <x:c r="A90" s="9" t="str">
        <x:v>SE</x:v>
      </x:c>
      <x:c r="B90" s="9" t="str">
        <x:v>SE-020</x:v>
      </x:c>
      <x:c r="C90" s="9" t="str">
        <x:v>tools</x:v>
      </x:c>
      <x:c r="D90" s="9" t="str">
        <x:v>Git/GitHub</x:v>
      </x:c>
    </x:row>
    <x:row r="91">
      <x:c r="A91" s="9" t="str">
        <x:v>SE</x:v>
      </x:c>
      <x:c r="B91" s="9" t="str">
        <x:v>SE-021</x:v>
      </x:c>
      <x:c r="C91" s="9" t="str">
        <x:v>languages</x:v>
      </x:c>
      <x:c r="D91" s="9" t="str">
        <x:v>Java</x:v>
      </x:c>
    </x:row>
    <x:row r="92">
      <x:c r="A92" s="9" t="str">
        <x:v>SE</x:v>
      </x:c>
      <x:c r="B92" s="9" t="str">
        <x:v>SE-021</x:v>
      </x:c>
      <x:c r="C92" s="9" t="str">
        <x:v>languages</x:v>
      </x:c>
      <x:c r="D92" s="9" t="str">
        <x:v>HTML/CSS</x:v>
      </x:c>
    </x:row>
    <x:row r="93">
      <x:c r="A93" s="9" t="str">
        <x:v>SE</x:v>
      </x:c>
      <x:c r="B93" s="9" t="str">
        <x:v>SE-021</x:v>
      </x:c>
      <x:c r="C93" s="9" t="str">
        <x:v>languages</x:v>
      </x:c>
      <x:c r="D93" s="9" t="str">
        <x:v>JavaScript</x:v>
      </x:c>
    </x:row>
    <x:row r="94">
      <x:c r="A94" s="9" t="str">
        <x:v>SE</x:v>
      </x:c>
      <x:c r="B94" s="9" t="str">
        <x:v>SE-021</x:v>
      </x:c>
      <x:c r="C94" s="9" t="str">
        <x:v>languages</x:v>
      </x:c>
      <x:c r="D94" s="9" t="str">
        <x:v>SQL</x:v>
      </x:c>
    </x:row>
    <x:row r="95">
      <x:c r="A95" s="9" t="str">
        <x:v>SE</x:v>
      </x:c>
      <x:c r="B95" s="9" t="str">
        <x:v>SE-021</x:v>
      </x:c>
      <x:c r="C95" s="9" t="str">
        <x:v>frameworks</x:v>
      </x:c>
      <x:c r="D95" s="9" t="str">
        <x:v>Hibernate</x:v>
      </x:c>
    </x:row>
    <x:row r="96">
      <x:c r="A96" s="9" t="str">
        <x:v>SE</x:v>
      </x:c>
      <x:c r="B96" s="9" t="str">
        <x:v>SE-021</x:v>
      </x:c>
      <x:c r="C96" s="9" t="str">
        <x:v>tools</x:v>
      </x:c>
      <x:c r="D96" s="9" t="str">
        <x:v>MySQL</x:v>
      </x:c>
    </x:row>
    <x:row r="97">
      <x:c r="A97" s="9" t="str">
        <x:v>SE</x:v>
      </x:c>
      <x:c r="B97" s="9" t="str">
        <x:v>SE-021</x:v>
      </x:c>
      <x:c r="C97" s="9" t="str">
        <x:v>tools</x:v>
      </x:c>
      <x:c r="D97" s="9" t="str">
        <x:v>SQL Server</x:v>
      </x:c>
    </x:row>
    <x:row r="98">
      <x:c r="A98" s="9" t="str">
        <x:v>SE</x:v>
      </x:c>
      <x:c r="B98" s="9" t="str">
        <x:v>SE-021</x:v>
      </x:c>
      <x:c r="C98" s="9" t="str">
        <x:v>tools</x:v>
      </x:c>
      <x:c r="D98" s="9" t="str">
        <x:v>Git/GitHub</x:v>
      </x:c>
    </x:row>
    <x:row r="99">
      <x:c r="A99" s="9" t="str">
        <x:v>SE</x:v>
      </x:c>
      <x:c r="B99" s="9" t="str">
        <x:v>SE-021</x:v>
      </x:c>
      <x:c r="C99" s="9" t="str">
        <x:v>tools</x:v>
      </x:c>
      <x:c r="D99" s="9" t="str">
        <x:v>Linux</x:v>
      </x:c>
    </x:row>
    <x:row r="100">
      <x:c r="A100" s="9" t="str">
        <x:v>SE</x:v>
      </x:c>
      <x:c r="B100" s="9" t="str">
        <x:v>SE-022</x:v>
      </x:c>
      <x:c r="C100" s="9" t="str">
        <x:v>languages</x:v>
      </x:c>
      <x:c r="D100" s="9" t="str">
        <x:v>C++</x:v>
      </x:c>
    </x:row>
    <x:row r="101">
      <x:c r="A101" s="9" t="str">
        <x:v>SE</x:v>
      </x:c>
      <x:c r="B101" s="9" t="str">
        <x:v>SE-022</x:v>
      </x:c>
      <x:c r="C101" s="9" t="str">
        <x:v>languages</x:v>
      </x:c>
      <x:c r="D101" s="9" t="str">
        <x:v>C#</x:v>
      </x:c>
    </x:row>
    <x:row r="102">
      <x:c r="A102" s="9" t="str">
        <x:v>SE</x:v>
      </x:c>
      <x:c r="B102" s="9" t="str">
        <x:v>SE-022</x:v>
      </x:c>
      <x:c r="C102" s="9" t="str">
        <x:v>languages</x:v>
      </x:c>
      <x:c r="D102" s="9" t="str">
        <x:v>Java</x:v>
      </x:c>
    </x:row>
    <x:row r="103">
      <x:c r="A103" s="9" t="str">
        <x:v>SE</x:v>
      </x:c>
      <x:c r="B103" s="9" t="str">
        <x:v>SE-022</x:v>
      </x:c>
      <x:c r="C103" s="9" t="str">
        <x:v>languages</x:v>
      </x:c>
      <x:c r="D103" s="9" t="str">
        <x:v>Python</x:v>
      </x:c>
    </x:row>
    <x:row r="104">
      <x:c r="A104" s="9" t="str">
        <x:v>SE</x:v>
      </x:c>
      <x:c r="B104" s="9" t="str">
        <x:v>SE-022</x:v>
      </x:c>
      <x:c r="C104" s="9" t="str">
        <x:v>languages</x:v>
      </x:c>
      <x:c r="D104" s="9" t="str">
        <x:v>Kotlin</x:v>
      </x:c>
    </x:row>
    <x:row r="105">
      <x:c r="A105" s="9" t="str">
        <x:v>SE</x:v>
      </x:c>
      <x:c r="B105" s="9" t="str">
        <x:v>SE-022</x:v>
      </x:c>
      <x:c r="C105" s="9" t="str">
        <x:v>languages</x:v>
      </x:c>
      <x:c r="D105" s="9" t="str">
        <x:v>JavaScript</x:v>
      </x:c>
    </x:row>
    <x:row r="106">
      <x:c r="A106" s="9" t="str">
        <x:v>SE</x:v>
      </x:c>
      <x:c r="B106" s="9" t="str">
        <x:v>SE-022</x:v>
      </x:c>
      <x:c r="C106" s="9" t="str">
        <x:v>languages</x:v>
      </x:c>
      <x:c r="D106" s="9" t="str">
        <x:v>SQL</x:v>
      </x:c>
    </x:row>
    <x:row r="107">
      <x:c r="A107" s="9" t="str">
        <x:v>SE</x:v>
      </x:c>
      <x:c r="B107" s="9" t="str">
        <x:v>SE-022</x:v>
      </x:c>
      <x:c r="C107" s="9" t="str">
        <x:v>frameworks</x:v>
      </x:c>
      <x:c r="D107" s="9" t="str">
        <x:v>.NET</x:v>
      </x:c>
    </x:row>
    <x:row r="108">
      <x:c r="A108" s="9" t="str">
        <x:v>SE</x:v>
      </x:c>
      <x:c r="B108" s="9" t="str">
        <x:v>SE-022</x:v>
      </x:c>
      <x:c r="C108" s="9" t="str">
        <x:v>frameworks</x:v>
      </x:c>
      <x:c r="D108" s="9" t="str">
        <x:v>React</x:v>
      </x:c>
    </x:row>
    <x:row r="109">
      <x:c r="A109" s="9" t="str">
        <x:v>SE</x:v>
      </x:c>
      <x:c r="B109" s="9" t="str">
        <x:v>SE-022</x:v>
      </x:c>
      <x:c r="C109" s="9" t="str">
        <x:v>tools</x:v>
      </x:c>
      <x:c r="D109" s="9" t="str">
        <x:v>Git/GitHub</x:v>
      </x:c>
    </x:row>
    <x:row r="110">
      <x:c r="A110" s="9" t="str">
        <x:v>SE</x:v>
      </x:c>
      <x:c r="B110" s="9" t="str">
        <x:v>SE-022</x:v>
      </x:c>
      <x:c r="C110" s="9" t="str">
        <x:v>tools</x:v>
      </x:c>
      <x:c r="D110" s="9" t="str">
        <x:v>AWS</x:v>
      </x:c>
    </x:row>
    <x:row r="111">
      <x:c r="A111" s="9" t="str">
        <x:v>SE</x:v>
      </x:c>
      <x:c r="B111" s="9" t="str">
        <x:v>SE-024</x:v>
      </x:c>
      <x:c r="C111" s="9" t="str">
        <x:v>languages</x:v>
      </x:c>
      <x:c r="D111" s="9" t="str">
        <x:v>C#</x:v>
      </x:c>
    </x:row>
    <x:row r="112">
      <x:c r="A112" s="9" t="str">
        <x:v>SE</x:v>
      </x:c>
      <x:c r="B112" s="9" t="str">
        <x:v>SE-024</x:v>
      </x:c>
      <x:c r="C112" s="9" t="str">
        <x:v>languages</x:v>
      </x:c>
      <x:c r="D112" s="9" t="str">
        <x:v>SQL</x:v>
      </x:c>
    </x:row>
    <x:row r="113">
      <x:c r="A113" s="9" t="str">
        <x:v>SE</x:v>
      </x:c>
      <x:c r="B113" s="9" t="str">
        <x:v>SE-024</x:v>
      </x:c>
      <x:c r="C113" s="9" t="str">
        <x:v>languages</x:v>
      </x:c>
      <x:c r="D113" s="9" t="str">
        <x:v>HTML/CSS</x:v>
      </x:c>
    </x:row>
    <x:row r="114">
      <x:c r="A114" s="9" t="str">
        <x:v>SE</x:v>
      </x:c>
      <x:c r="B114" s="9" t="str">
        <x:v>SE-024</x:v>
      </x:c>
      <x:c r="C114" s="9" t="str">
        <x:v>languages</x:v>
      </x:c>
      <x:c r="D114" s="9" t="str">
        <x:v>JavaScript</x:v>
      </x:c>
    </x:row>
    <x:row r="115">
      <x:c r="A115" s="9" t="str">
        <x:v>SE</x:v>
      </x:c>
      <x:c r="B115" s="9" t="str">
        <x:v>SE-024</x:v>
      </x:c>
      <x:c r="C115" s="9" t="str">
        <x:v>frameworks</x:v>
      </x:c>
      <x:c r="D115" s="9" t="str">
        <x:v>.NET</x:v>
      </x:c>
    </x:row>
    <x:row r="116">
      <x:c r="A116" s="9" t="str">
        <x:v>SE</x:v>
      </x:c>
      <x:c r="B116" s="9" t="str">
        <x:v>SE-024</x:v>
      </x:c>
      <x:c r="C116" s="9" t="str">
        <x:v>tools</x:v>
      </x:c>
      <x:c r="D116" s="9" t="str">
        <x:v>SQL Server</x:v>
      </x:c>
    </x:row>
    <x:row r="117">
      <x:c r="A117" s="9" t="str">
        <x:v>SE</x:v>
      </x:c>
      <x:c r="B117" s="9" t="str">
        <x:v>SE-024</x:v>
      </x:c>
      <x:c r="C117" s="9" t="str">
        <x:v>tools</x:v>
      </x:c>
      <x:c r="D117" s="9" t="str">
        <x:v>Git/GitHub</x:v>
      </x:c>
    </x:row>
    <x:row r="118">
      <x:c r="A118" s="9" t="str">
        <x:v>SE</x:v>
      </x:c>
      <x:c r="B118" s="9" t="str">
        <x:v>SE-024</x:v>
      </x:c>
      <x:c r="C118" s="9" t="str">
        <x:v>tools</x:v>
      </x:c>
      <x:c r="D118" s="9" t="str">
        <x:v>Azure</x:v>
      </x:c>
    </x:row>
    <x:row r="119">
      <x:c r="A119" s="9" t="str">
        <x:v>SE</x:v>
      </x:c>
      <x:c r="B119" s="9" t="str">
        <x:v>SE-025</x:v>
      </x:c>
      <x:c r="C119" s="9" t="str">
        <x:v>languages</x:v>
      </x:c>
      <x:c r="D119" s="9" t="str">
        <x:v>C#</x:v>
      </x:c>
    </x:row>
    <x:row r="120">
      <x:c r="A120" s="9" t="str">
        <x:v>SE</x:v>
      </x:c>
      <x:c r="B120" s="9" t="str">
        <x:v>SE-025</x:v>
      </x:c>
      <x:c r="C120" s="9" t="str">
        <x:v>languages</x:v>
      </x:c>
      <x:c r="D120" s="9" t="str">
        <x:v>SQL</x:v>
      </x:c>
    </x:row>
    <x:row r="121">
      <x:c r="A121" s="9" t="str">
        <x:v>SE</x:v>
      </x:c>
      <x:c r="B121" s="9" t="str">
        <x:v>SE-025</x:v>
      </x:c>
      <x:c r="C121" s="9" t="str">
        <x:v>languages</x:v>
      </x:c>
      <x:c r="D121" s="9" t="str">
        <x:v>HTML/CSS</x:v>
      </x:c>
    </x:row>
    <x:row r="122">
      <x:c r="A122" s="9" t="str">
        <x:v>SE</x:v>
      </x:c>
      <x:c r="B122" s="9" t="str">
        <x:v>SE-025</x:v>
      </x:c>
      <x:c r="C122" s="9" t="str">
        <x:v>languages</x:v>
      </x:c>
      <x:c r="D122" s="9" t="str">
        <x:v>JavaScript</x:v>
      </x:c>
    </x:row>
    <x:row r="123">
      <x:c r="A123" s="9" t="str">
        <x:v>SE</x:v>
      </x:c>
      <x:c r="B123" s="9" t="str">
        <x:v>SE-025</x:v>
      </x:c>
      <x:c r="C123" s="9" t="str">
        <x:v>frameworks</x:v>
      </x:c>
      <x:c r="D123" s="9" t="str">
        <x:v>.NET</x:v>
      </x:c>
    </x:row>
    <x:row r="124">
      <x:c r="A124" s="9" t="str">
        <x:v>SE</x:v>
      </x:c>
      <x:c r="B124" s="9" t="str">
        <x:v>SE-025</x:v>
      </x:c>
      <x:c r="C124" s="9" t="str">
        <x:v>tools</x:v>
      </x:c>
      <x:c r="D124" s="9" t="str">
        <x:v>SQL Server</x:v>
      </x:c>
    </x:row>
    <x:row r="125">
      <x:c r="A125" s="9" t="str">
        <x:v>SE</x:v>
      </x:c>
      <x:c r="B125" s="9" t="str">
        <x:v>SE-025</x:v>
      </x:c>
      <x:c r="C125" s="9" t="str">
        <x:v>tools</x:v>
      </x:c>
      <x:c r="D125" s="9" t="str">
        <x:v>Git/GitHub</x:v>
      </x:c>
    </x:row>
    <x:row r="126">
      <x:c r="A126" s="9" t="str">
        <x:v>SE</x:v>
      </x:c>
      <x:c r="B126" s="9" t="str">
        <x:v>SE-025</x:v>
      </x:c>
      <x:c r="C126" s="9" t="str">
        <x:v>tools</x:v>
      </x:c>
      <x:c r="D126" s="9" t="str">
        <x:v>Azure</x:v>
      </x:c>
    </x:row>
    <x:row r="127">
      <x:c r="A127" s="9" t="str">
        <x:v>SE</x:v>
      </x:c>
      <x:c r="B127" s="9" t="str">
        <x:v>SE-027</x:v>
      </x:c>
      <x:c r="C127" s="9" t="str">
        <x:v>languages</x:v>
      </x:c>
      <x:c r="D127" s="9" t="str">
        <x:v>PHP</x:v>
      </x:c>
    </x:row>
    <x:row r="128">
      <x:c r="A128" s="9" t="str">
        <x:v>SE</x:v>
      </x:c>
      <x:c r="B128" s="9" t="str">
        <x:v>SE-027</x:v>
      </x:c>
      <x:c r="C128" s="9" t="str">
        <x:v>languages</x:v>
      </x:c>
      <x:c r="D128" s="9" t="str">
        <x:v>SQL</x:v>
      </x:c>
    </x:row>
    <x:row r="129">
      <x:c r="A129" s="9" t="str">
        <x:v>SE</x:v>
      </x:c>
      <x:c r="B129" s="9" t="str">
        <x:v>SE-027</x:v>
      </x:c>
      <x:c r="C129" s="9" t="str">
        <x:v>tools</x:v>
      </x:c>
      <x:c r="D129" s="9" t="str">
        <x:v>Linux</x:v>
      </x:c>
    </x:row>
    <x:row r="130">
      <x:c r="A130" s="9" t="str">
        <x:v>SE</x:v>
      </x:c>
      <x:c r="B130" s="9" t="str">
        <x:v>SE-027</x:v>
      </x:c>
      <x:c r="C130" s="9" t="str">
        <x:v>tools</x:v>
      </x:c>
      <x:c r="D130" s="9" t="str">
        <x:v>Git/GitHub</x:v>
      </x:c>
    </x:row>
    <x:row r="131">
      <x:c r="A131" s="9" t="str">
        <x:v>SE</x:v>
      </x:c>
      <x:c r="B131" s="9" t="str">
        <x:v>SE-027</x:v>
      </x:c>
      <x:c r="C131" s="9" t="str">
        <x:v>tools</x:v>
      </x:c>
      <x:c r="D131" s="9" t="str">
        <x:v>MySQL</x:v>
      </x:c>
    </x:row>
    <x:row r="132">
      <x:c r="A132" s="9" t="str">
        <x:v>SE</x:v>
      </x:c>
      <x:c r="B132" s="9" t="str">
        <x:v>SE-029</x:v>
      </x:c>
      <x:c r="C132" s="9" t="str">
        <x:v>languages</x:v>
      </x:c>
      <x:c r="D132" s="9" t="str">
        <x:v>JavaScript</x:v>
      </x:c>
    </x:row>
    <x:row r="133">
      <x:c r="A133" s="9" t="str">
        <x:v>SE</x:v>
      </x:c>
      <x:c r="B133" s="9" t="str">
        <x:v>SE-029</x:v>
      </x:c>
      <x:c r="C133" s="9" t="str">
        <x:v>languages</x:v>
      </x:c>
      <x:c r="D133" s="9" t="str">
        <x:v>TypeScript</x:v>
      </x:c>
    </x:row>
    <x:row r="134">
      <x:c r="A134" s="9" t="str">
        <x:v>SE</x:v>
      </x:c>
      <x:c r="B134" s="9" t="str">
        <x:v>SE-029</x:v>
      </x:c>
      <x:c r="C134" s="9" t="str">
        <x:v>frameworks</x:v>
      </x:c>
      <x:c r="D134" s="9" t="str">
        <x:v>React</x:v>
      </x:c>
    </x:row>
    <x:row r="135">
      <x:c r="A135" s="9" t="str">
        <x:v>SE</x:v>
      </x:c>
      <x:c r="B135" s="9" t="str">
        <x:v>SE-029</x:v>
      </x:c>
      <x:c r="C135" s="9" t="str">
        <x:v>frameworks</x:v>
      </x:c>
      <x:c r="D135" s="9" t="str">
        <x:v>Angular</x:v>
      </x:c>
    </x:row>
    <x:row r="136">
      <x:c r="A136" s="9" t="str">
        <x:v>SE</x:v>
      </x:c>
      <x:c r="B136" s="9" t="str">
        <x:v>SE-029</x:v>
      </x:c>
      <x:c r="C136" s="9" t="str">
        <x:v>frameworks</x:v>
      </x:c>
      <x:c r="D136" s="9" t="str">
        <x:v>Vue</x:v>
      </x:c>
    </x:row>
    <x:row r="137">
      <x:c r="A137" s="9" t="str">
        <x:v>SE</x:v>
      </x:c>
      <x:c r="B137" s="9" t="str">
        <x:v>SE-030</x:v>
      </x:c>
      <x:c r="C137" s="9" t="str">
        <x:v>languages</x:v>
      </x:c>
      <x:c r="D137" s="9" t="str">
        <x:v>HTML/CSS</x:v>
      </x:c>
    </x:row>
    <x:row r="138">
      <x:c r="A138" s="9" t="str">
        <x:v>SE</x:v>
      </x:c>
      <x:c r="B138" s="9" t="str">
        <x:v>SE-030</x:v>
      </x:c>
      <x:c r="C138" s="9" t="str">
        <x:v>languages</x:v>
      </x:c>
      <x:c r="D138" s="9" t="str">
        <x:v>JavaScript</x:v>
      </x:c>
    </x:row>
    <x:row r="139">
      <x:c r="A139" s="9" t="str">
        <x:v>SE</x:v>
      </x:c>
      <x:c r="B139" s="9" t="str">
        <x:v>SE-030</x:v>
      </x:c>
      <x:c r="C139" s="9" t="str">
        <x:v>frameworks</x:v>
      </x:c>
      <x:c r="D139" s="9" t="str">
        <x:v>Angular</x:v>
      </x:c>
    </x:row>
    <x:row r="140">
      <x:c r="A140" s="9" t="str">
        <x:v>SE</x:v>
      </x:c>
      <x:c r="B140" s="9" t="str">
        <x:v>SE-030</x:v>
      </x:c>
      <x:c r="C140" s="9" t="str">
        <x:v>frameworks</x:v>
      </x:c>
      <x:c r="D140" s="9" t="str">
        <x:v>React</x:v>
      </x:c>
    </x:row>
    <x:row r="141">
      <x:c r="A141" s="9" t="str">
        <x:v>DA</x:v>
      </x:c>
      <x:c r="B141" s="9" t="str">
        <x:v>DA-002</x:v>
      </x:c>
      <x:c r="C141" s="9" t="str">
        <x:v>core_skills</x:v>
      </x:c>
      <x:c r="D141" s="9" t="str">
        <x:v>SQL</x:v>
      </x:c>
    </x:row>
    <x:row r="142">
      <x:c r="A142" s="9" t="str">
        <x:v>DA</x:v>
      </x:c>
      <x:c r="B142" s="9" t="str">
        <x:v>DA-002</x:v>
      </x:c>
      <x:c r="C142" s="9" t="str">
        <x:v>core_skills</x:v>
      </x:c>
      <x:c r="D142" s="9" t="str">
        <x:v>Excel (advanced)</x:v>
      </x:c>
    </x:row>
    <x:row r="143">
      <x:c r="A143" s="9" t="str">
        <x:v>DA</x:v>
      </x:c>
      <x:c r="B143" s="9" t="str">
        <x:v>DA-002</x:v>
      </x:c>
      <x:c r="C143" s="9" t="str">
        <x:v>core_skills</x:v>
      </x:c>
      <x:c r="D143" s="9" t="str">
        <x:v>Python</x:v>
      </x:c>
    </x:row>
    <x:row r="144">
      <x:c r="A144" s="9" t="str">
        <x:v>DA</x:v>
      </x:c>
      <x:c r="B144" s="9" t="str">
        <x:v>DA-002</x:v>
      </x:c>
      <x:c r="C144" s="9" t="str">
        <x:v>reporting_tools</x:v>
      </x:c>
      <x:c r="D144" s="9" t="str">
        <x:v>Excel (dashboards/pivot tables)</x:v>
      </x:c>
    </x:row>
    <x:row r="145">
      <x:c r="A145" s="9" t="str">
        <x:v>DA</x:v>
      </x:c>
      <x:c r="B145" s="9" t="str">
        <x:v>DA-002</x:v>
      </x:c>
      <x:c r="C145" s="9" t="str">
        <x:v>reporting_tools</x:v>
      </x:c>
      <x:c r="D145" s="9" t="str">
        <x:v>Power BI</x:v>
      </x:c>
    </x:row>
    <x:row r="146">
      <x:c r="A146" s="9" t="str">
        <x:v>DA</x:v>
      </x:c>
      <x:c r="B146" s="9" t="str">
        <x:v>DA-002</x:v>
      </x:c>
      <x:c r="C146" s="9" t="str">
        <x:v>reporting_tools</x:v>
      </x:c>
      <x:c r="D146" s="9" t="str">
        <x:v>Tableau</x:v>
      </x:c>
    </x:row>
    <x:row r="147">
      <x:c r="A147" s="9" t="str">
        <x:v>DA</x:v>
      </x:c>
      <x:c r="B147" s="9" t="str">
        <x:v>DA-002</x:v>
      </x:c>
      <x:c r="C147" s="9" t="str">
        <x:v>tools</x:v>
      </x:c>
      <x:c r="D147" s="9" t="str">
        <x:v>Excel</x:v>
      </x:c>
    </x:row>
    <x:row r="148">
      <x:c r="A148" s="9" t="str">
        <x:v>DA</x:v>
      </x:c>
      <x:c r="B148" s="9" t="str">
        <x:v>DA-007</x:v>
      </x:c>
      <x:c r="C148" s="9" t="str">
        <x:v>reporting_tools</x:v>
      </x:c>
      <x:c r="D148" s="9" t="str">
        <x:v>Excel (dashboards/pivot tables)</x:v>
      </x:c>
    </x:row>
    <x:row r="149">
      <x:c r="A149" s="9" t="str">
        <x:v>DA</x:v>
      </x:c>
      <x:c r="B149" s="9" t="str">
        <x:v>DA-007</x:v>
      </x:c>
      <x:c r="C149" s="9" t="str">
        <x:v>reporting_tools</x:v>
      </x:c>
      <x:c r="D149" s="9" t="str">
        <x:v>Power BI</x:v>
      </x:c>
    </x:row>
    <x:row r="150">
      <x:c r="A150" s="9" t="str">
        <x:v>DA</x:v>
      </x:c>
      <x:c r="B150" s="9" t="str">
        <x:v>DA-007</x:v>
      </x:c>
      <x:c r="C150" s="9" t="str">
        <x:v>tools</x:v>
      </x:c>
      <x:c r="D150" s="9" t="str">
        <x:v>Excel</x:v>
      </x:c>
    </x:row>
    <x:row r="151">
      <x:c r="A151" s="9" t="str">
        <x:v>DA</x:v>
      </x:c>
      <x:c r="B151" s="9" t="str">
        <x:v>DA-008</x:v>
      </x:c>
      <x:c r="C151" s="9" t="str">
        <x:v>core_skills</x:v>
      </x:c>
      <x:c r="D151" s="9" t="str">
        <x:v>SQL</x:v>
      </x:c>
    </x:row>
    <x:row r="152">
      <x:c r="A152" s="9" t="str">
        <x:v>DA</x:v>
      </x:c>
      <x:c r="B152" s="9" t="str">
        <x:v>DA-008</x:v>
      </x:c>
      <x:c r="C152" s="9" t="str">
        <x:v>core_skills</x:v>
      </x:c>
      <x:c r="D152" s="9" t="str">
        <x:v>Statistics</x:v>
      </x:c>
    </x:row>
    <x:row r="153">
      <x:c r="A153" s="9" t="str">
        <x:v>DA</x:v>
      </x:c>
      <x:c r="B153" s="9" t="str">
        <x:v>DA-008</x:v>
      </x:c>
      <x:c r="C153" s="9" t="str">
        <x:v>core_skills</x:v>
      </x:c>
      <x:c r="D153" s="9" t="str">
        <x:v>Excel (advanced)</x:v>
      </x:c>
    </x:row>
    <x:row r="154">
      <x:c r="A154" s="9" t="str">
        <x:v>DA</x:v>
      </x:c>
      <x:c r="B154" s="9" t="str">
        <x:v>DA-008</x:v>
      </x:c>
      <x:c r="C154" s="9" t="str">
        <x:v>core_skills</x:v>
      </x:c>
      <x:c r="D154" s="9" t="str">
        <x:v>Python</x:v>
      </x:c>
    </x:row>
    <x:row r="155">
      <x:c r="A155" s="9" t="str">
        <x:v>DA</x:v>
      </x:c>
      <x:c r="B155" s="9" t="str">
        <x:v>DA-008</x:v>
      </x:c>
      <x:c r="C155" s="9" t="str">
        <x:v>reporting_tools</x:v>
      </x:c>
      <x:c r="D155" s="9" t="str">
        <x:v>Excel (dashboards/pivot tables)</x:v>
      </x:c>
    </x:row>
    <x:row r="156">
      <x:c r="A156" s="9" t="str">
        <x:v>DA</x:v>
      </x:c>
      <x:c r="B156" s="9" t="str">
        <x:v>DA-008</x:v>
      </x:c>
      <x:c r="C156" s="9" t="str">
        <x:v>reporting_tools</x:v>
      </x:c>
      <x:c r="D156" s="9" t="str">
        <x:v>Power BI</x:v>
      </x:c>
    </x:row>
    <x:row r="157">
      <x:c r="A157" s="9" t="str">
        <x:v>DA</x:v>
      </x:c>
      <x:c r="B157" s="9" t="str">
        <x:v>DA-008</x:v>
      </x:c>
      <x:c r="C157" s="9" t="str">
        <x:v>tools</x:v>
      </x:c>
      <x:c r="D157" s="9" t="str">
        <x:v>Excel</x:v>
      </x:c>
    </x:row>
    <x:row r="158">
      <x:c r="A158" s="9" t="str">
        <x:v>DA</x:v>
      </x:c>
      <x:c r="B158" s="9" t="str">
        <x:v>DA-008</x:v>
      </x:c>
      <x:c r="C158" s="9" t="str">
        <x:v>tools</x:v>
      </x:c>
      <x:c r="D158" s="9" t="str">
        <x:v>Jira</x:v>
      </x:c>
    </x:row>
    <x:row r="159">
      <x:c r="A159" s="9" t="str">
        <x:v>DA</x:v>
      </x:c>
      <x:c r="B159" s="9" t="str">
        <x:v>DA-010</x:v>
      </x:c>
      <x:c r="C159" s="9" t="str">
        <x:v>core_skills</x:v>
      </x:c>
      <x:c r="D159" s="9" t="str">
        <x:v>Statistics</x:v>
      </x:c>
    </x:row>
    <x:row r="160">
      <x:c r="A160" s="9" t="str">
        <x:v>DA</x:v>
      </x:c>
      <x:c r="B160" s="9" t="str">
        <x:v>DA-010</x:v>
      </x:c>
      <x:c r="C160" s="9" t="str">
        <x:v>core_skills</x:v>
      </x:c>
      <x:c r="D160" s="9" t="str">
        <x:v>R</x:v>
      </x:c>
    </x:row>
    <x:row r="161">
      <x:c r="A161" s="9" t="str">
        <x:v>DA</x:v>
      </x:c>
      <x:c r="B161" s="9" t="str">
        <x:v>DA-010</x:v>
      </x:c>
      <x:c r="C161" s="9" t="str">
        <x:v>core_skills</x:v>
      </x:c>
      <x:c r="D161" s="9" t="str">
        <x:v>Python</x:v>
      </x:c>
    </x:row>
    <x:row r="162">
      <x:c r="A162" s="9" t="str">
        <x:v>DA</x:v>
      </x:c>
      <x:c r="B162" s="9" t="str">
        <x:v>DA-010</x:v>
      </x:c>
      <x:c r="C162" s="9" t="str">
        <x:v>core_skills</x:v>
      </x:c>
      <x:c r="D162" s="9" t="str">
        <x:v>SQL</x:v>
      </x:c>
    </x:row>
    <x:row r="163">
      <x:c r="A163" s="9" t="str">
        <x:v>DA</x:v>
      </x:c>
      <x:c r="B163" s="9" t="str">
        <x:v>DA-010</x:v>
      </x:c>
      <x:c r="C163" s="9" t="str">
        <x:v>reporting_tools</x:v>
      </x:c>
      <x:c r="D163" s="9" t="str">
        <x:v>Tableau</x:v>
      </x:c>
    </x:row>
    <x:row r="164">
      <x:c r="A164" s="9" t="str">
        <x:v>DA</x:v>
      </x:c>
      <x:c r="B164" s="9" t="str">
        <x:v>DA-010</x:v>
      </x:c>
      <x:c r="C164" s="9" t="str">
        <x:v>tools</x:v>
      </x:c>
      <x:c r="D164" s="9" t="str">
        <x:v>Excel</x:v>
      </x:c>
    </x:row>
    <x:row r="165">
      <x:c r="A165" s="9" t="str">
        <x:v>DA</x:v>
      </x:c>
      <x:c r="B165" s="9" t="str">
        <x:v>DA-011</x:v>
      </x:c>
      <x:c r="C165" s="9" t="str">
        <x:v>core_skills</x:v>
      </x:c>
      <x:c r="D165" s="9" t="str">
        <x:v>Statistics</x:v>
      </x:c>
    </x:row>
    <x:row r="166">
      <x:c r="A166" s="9" t="str">
        <x:v>DA</x:v>
      </x:c>
      <x:c r="B166" s="9" t="str">
        <x:v>DA-011</x:v>
      </x:c>
      <x:c r="C166" s="9" t="str">
        <x:v>core_skills</x:v>
      </x:c>
      <x:c r="D166" s="9" t="str">
        <x:v>SQL</x:v>
      </x:c>
    </x:row>
    <x:row r="167">
      <x:c r="A167" s="9" t="str">
        <x:v>DA</x:v>
      </x:c>
      <x:c r="B167" s="9" t="str">
        <x:v>DA-011</x:v>
      </x:c>
      <x:c r="C167" s="9" t="str">
        <x:v>core_skills</x:v>
      </x:c>
      <x:c r="D167" s="9" t="str">
        <x:v>Python</x:v>
      </x:c>
    </x:row>
    <x:row r="168">
      <x:c r="A168" s="9" t="str">
        <x:v>DA</x:v>
      </x:c>
      <x:c r="B168" s="9" t="str">
        <x:v>DA-011</x:v>
      </x:c>
      <x:c r="C168" s="9" t="str">
        <x:v>core_skills</x:v>
      </x:c>
      <x:c r="D168" s="9" t="str">
        <x:v>R</x:v>
      </x:c>
    </x:row>
    <x:row r="169">
      <x:c r="A169" s="9" t="str">
        <x:v>DA</x:v>
      </x:c>
      <x:c r="B169" s="9" t="str">
        <x:v>DA-011</x:v>
      </x:c>
      <x:c r="C169" s="9" t="str">
        <x:v>reporting_tools</x:v>
      </x:c>
      <x:c r="D169" s="9" t="str">
        <x:v>Power BI</x:v>
      </x:c>
    </x:row>
    <x:row r="170">
      <x:c r="A170" s="9" t="str">
        <x:v>DA</x:v>
      </x:c>
      <x:c r="B170" s="9" t="str">
        <x:v>DA-011</x:v>
      </x:c>
      <x:c r="C170" s="9" t="str">
        <x:v>reporting_tools</x:v>
      </x:c>
      <x:c r="D170" s="9" t="str">
        <x:v>Tableau</x:v>
      </x:c>
    </x:row>
    <x:row r="171">
      <x:c r="A171" s="9" t="str">
        <x:v>DA</x:v>
      </x:c>
      <x:c r="B171" s="9" t="str">
        <x:v>DA-011</x:v>
      </x:c>
      <x:c r="C171" s="9" t="str">
        <x:v>reporting_tools</x:v>
      </x:c>
      <x:c r="D171" s="9" t="str">
        <x:v>Google Data Studio / Looker Studio</x:v>
      </x:c>
    </x:row>
    <x:row r="172">
      <x:c r="A172" s="9" t="str">
        <x:v>DA</x:v>
      </x:c>
      <x:c r="B172" s="9" t="str">
        <x:v>DA-012</x:v>
      </x:c>
      <x:c r="C172" s="9" t="str">
        <x:v>core_skills</x:v>
      </x:c>
      <x:c r="D172" s="9" t="str">
        <x:v>SQL</x:v>
      </x:c>
    </x:row>
    <x:row r="173">
      <x:c r="A173" s="9" t="str">
        <x:v>DA</x:v>
      </x:c>
      <x:c r="B173" s="9" t="str">
        <x:v>DA-012</x:v>
      </x:c>
      <x:c r="C173" s="9" t="str">
        <x:v>reporting_tools</x:v>
      </x:c>
      <x:c r="D173" s="9" t="str">
        <x:v>Excel (dashboards/pivot tables)</x:v>
      </x:c>
    </x:row>
    <x:row r="174">
      <x:c r="A174" s="9" t="str">
        <x:v>DA</x:v>
      </x:c>
      <x:c r="B174" s="9" t="str">
        <x:v>DA-012</x:v>
      </x:c>
      <x:c r="C174" s="9" t="str">
        <x:v>reporting_tools</x:v>
      </x:c>
      <x:c r="D174" s="9" t="str">
        <x:v>Power BI</x:v>
      </x:c>
    </x:row>
    <x:row r="175">
      <x:c r="A175" s="9" t="str">
        <x:v>DA</x:v>
      </x:c>
      <x:c r="B175" s="9" t="str">
        <x:v>DA-012</x:v>
      </x:c>
      <x:c r="C175" s="9" t="str">
        <x:v>tools</x:v>
      </x:c>
      <x:c r="D175" s="9" t="str">
        <x:v>Excel</x:v>
      </x:c>
    </x:row>
    <x:row r="176">
      <x:c r="A176" s="9" t="str">
        <x:v>DA</x:v>
      </x:c>
      <x:c r="B176" s="9" t="str">
        <x:v>DA-013</x:v>
      </x:c>
      <x:c r="C176" s="9" t="str">
        <x:v>core_skills</x:v>
      </x:c>
      <x:c r="D176" s="9" t="str">
        <x:v>Statistics</x:v>
      </x:c>
    </x:row>
    <x:row r="177">
      <x:c r="A177" s="9" t="str">
        <x:v>DA</x:v>
      </x:c>
      <x:c r="B177" s="9" t="str">
        <x:v>DA-013</x:v>
      </x:c>
      <x:c r="C177" s="9" t="str">
        <x:v>core_skills</x:v>
      </x:c>
      <x:c r="D177" s="9" t="str">
        <x:v>SQL</x:v>
      </x:c>
    </x:row>
    <x:row r="178">
      <x:c r="A178" s="9" t="str">
        <x:v>DA</x:v>
      </x:c>
      <x:c r="B178" s="9" t="str">
        <x:v>DA-013</x:v>
      </x:c>
      <x:c r="C178" s="9" t="str">
        <x:v>core_skills</x:v>
      </x:c>
      <x:c r="D178" s="9" t="str">
        <x:v>R</x:v>
      </x:c>
    </x:row>
    <x:row r="179">
      <x:c r="A179" s="9" t="str">
        <x:v>DA</x:v>
      </x:c>
      <x:c r="B179" s="9" t="str">
        <x:v>DA-013</x:v>
      </x:c>
      <x:c r="C179" s="9" t="str">
        <x:v>reporting_tools</x:v>
      </x:c>
      <x:c r="D179" s="9" t="str">
        <x:v>Power BI</x:v>
      </x:c>
    </x:row>
    <x:row r="180">
      <x:c r="A180" s="9" t="str">
        <x:v>DA</x:v>
      </x:c>
      <x:c r="B180" s="9" t="str">
        <x:v>DA-013</x:v>
      </x:c>
      <x:c r="C180" s="9" t="str">
        <x:v>tools</x:v>
      </x:c>
      <x:c r="D180" s="9" t="str">
        <x:v>Excel</x:v>
      </x:c>
    </x:row>
    <x:row r="181">
      <x:c r="A181" s="9" t="str">
        <x:v>DA</x:v>
      </x:c>
      <x:c r="B181" s="9" t="str">
        <x:v>DA-014</x:v>
      </x:c>
      <x:c r="C181" s="9" t="str">
        <x:v>core_skills</x:v>
      </x:c>
      <x:c r="D181" s="9" t="str">
        <x:v>SQL</x:v>
      </x:c>
    </x:row>
    <x:row r="182">
      <x:c r="A182" s="9" t="str">
        <x:v>DA</x:v>
      </x:c>
      <x:c r="B182" s="9" t="str">
        <x:v>DA-014</x:v>
      </x:c>
      <x:c r="C182" s="9" t="str">
        <x:v>core_skills</x:v>
      </x:c>
      <x:c r="D182" s="9" t="str">
        <x:v>Data Cleaning</x:v>
      </x:c>
    </x:row>
    <x:row r="183">
      <x:c r="A183" s="9" t="str">
        <x:v>DA</x:v>
      </x:c>
      <x:c r="B183" s="9" t="str">
        <x:v>DA-014</x:v>
      </x:c>
      <x:c r="C183" s="9" t="str">
        <x:v>core_skills</x:v>
      </x:c>
      <x:c r="D183" s="9" t="str">
        <x:v>Statistics</x:v>
      </x:c>
    </x:row>
    <x:row r="184">
      <x:c r="A184" s="9" t="str">
        <x:v>DA</x:v>
      </x:c>
      <x:c r="B184" s="9" t="str">
        <x:v>DA-014</x:v>
      </x:c>
      <x:c r="C184" s="9" t="str">
        <x:v>core_skills</x:v>
      </x:c>
      <x:c r="D184" s="9" t="str">
        <x:v>Python</x:v>
      </x:c>
    </x:row>
    <x:row r="185">
      <x:c r="A185" s="9" t="str">
        <x:v>DA</x:v>
      </x:c>
      <x:c r="B185" s="9" t="str">
        <x:v>DA-014</x:v>
      </x:c>
      <x:c r="C185" s="9" t="str">
        <x:v>core_skills</x:v>
      </x:c>
      <x:c r="D185" s="9" t="str">
        <x:v>R</x:v>
      </x:c>
    </x:row>
    <x:row r="186">
      <x:c r="A186" s="9" t="str">
        <x:v>DA</x:v>
      </x:c>
      <x:c r="B186" s="9" t="str">
        <x:v>DA-014</x:v>
      </x:c>
      <x:c r="C186" s="9" t="str">
        <x:v>reporting_tools</x:v>
      </x:c>
      <x:c r="D186" s="9" t="str">
        <x:v>Power BI</x:v>
      </x:c>
    </x:row>
    <x:row r="187">
      <x:c r="A187" s="9" t="str">
        <x:v>DA</x:v>
      </x:c>
      <x:c r="B187" s="9" t="str">
        <x:v>DA-014</x:v>
      </x:c>
      <x:c r="C187" s="9" t="str">
        <x:v>reporting_tools</x:v>
      </x:c>
      <x:c r="D187" s="9" t="str">
        <x:v>Tableau</x:v>
      </x:c>
    </x:row>
    <x:row r="188">
      <x:c r="A188" s="9" t="str">
        <x:v>DA</x:v>
      </x:c>
      <x:c r="B188" s="9" t="str">
        <x:v>DA-014</x:v>
      </x:c>
      <x:c r="C188" s="9" t="str">
        <x:v>tools</x:v>
      </x:c>
      <x:c r="D188" s="9" t="str">
        <x:v>Excel</x:v>
      </x:c>
    </x:row>
    <x:row r="189">
      <x:c r="A189" s="9" t="str">
        <x:v>DA</x:v>
      </x:c>
      <x:c r="B189" s="9" t="str">
        <x:v>DA-014</x:v>
      </x:c>
      <x:c r="C189" s="9" t="str">
        <x:v>tools</x:v>
      </x:c>
      <x:c r="D189" s="9" t="str">
        <x:v>Power Query</x:v>
      </x:c>
    </x:row>
    <x:row r="190">
      <x:c r="A190" s="9" t="str">
        <x:v>DA</x:v>
      </x:c>
      <x:c r="B190" s="9" t="str">
        <x:v>DA-018</x:v>
      </x:c>
      <x:c r="C190" s="9" t="str">
        <x:v>core_skills</x:v>
      </x:c>
      <x:c r="D190" s="9" t="str">
        <x:v>Statistics</x:v>
      </x:c>
    </x:row>
    <x:row r="191">
      <x:c r="A191" s="9" t="str">
        <x:v>DA</x:v>
      </x:c>
      <x:c r="B191" s="9" t="str">
        <x:v>DA-018</x:v>
      </x:c>
      <x:c r="C191" s="9" t="str">
        <x:v>core_skills</x:v>
      </x:c>
      <x:c r="D191" s="9" t="str">
        <x:v>SQL</x:v>
      </x:c>
    </x:row>
    <x:row r="192">
      <x:c r="A192" s="9" t="str">
        <x:v>DA</x:v>
      </x:c>
      <x:c r="B192" s="9" t="str">
        <x:v>DA-018</x:v>
      </x:c>
      <x:c r="C192" s="9" t="str">
        <x:v>core_skills</x:v>
      </x:c>
      <x:c r="D192" s="9" t="str">
        <x:v>Python</x:v>
      </x:c>
    </x:row>
    <x:row r="193">
      <x:c r="A193" s="9" t="str">
        <x:v>DA</x:v>
      </x:c>
      <x:c r="B193" s="9" t="str">
        <x:v>DA-018</x:v>
      </x:c>
      <x:c r="C193" s="9" t="str">
        <x:v>reporting_tools</x:v>
      </x:c>
      <x:c r="D193" s="9" t="str">
        <x:v>Power BI</x:v>
      </x:c>
    </x:row>
    <x:row r="194">
      <x:c r="A194" s="9" t="str">
        <x:v>DA</x:v>
      </x:c>
      <x:c r="B194" s="9" t="str">
        <x:v>DA-018</x:v>
      </x:c>
      <x:c r="C194" s="9" t="str">
        <x:v>reporting_tools</x:v>
      </x:c>
      <x:c r="D194" s="9" t="str">
        <x:v>Tableau</x:v>
      </x:c>
    </x:row>
    <x:row r="195">
      <x:c r="A195" s="9" t="str">
        <x:v>DA</x:v>
      </x:c>
      <x:c r="B195" s="9" t="str">
        <x:v>DA-018</x:v>
      </x:c>
      <x:c r="C195" s="9" t="str">
        <x:v>tools</x:v>
      </x:c>
      <x:c r="D195" s="9" t="str">
        <x:v>Excel</x:v>
      </x:c>
    </x:row>
    <x:row r="196">
      <x:c r="A196" s="9" t="str">
        <x:v>DA</x:v>
      </x:c>
      <x:c r="B196" s="9" t="str">
        <x:v>DA-019</x:v>
      </x:c>
      <x:c r="C196" s="9" t="str">
        <x:v>core_skills</x:v>
      </x:c>
      <x:c r="D196" s="9" t="str">
        <x:v>SQL</x:v>
      </x:c>
    </x:row>
    <x:row r="197">
      <x:c r="A197" s="9" t="str">
        <x:v>DA</x:v>
      </x:c>
      <x:c r="B197" s="9" t="str">
        <x:v>DA-019</x:v>
      </x:c>
      <x:c r="C197" s="9" t="str">
        <x:v>reporting_tools</x:v>
      </x:c>
      <x:c r="D197" s="9" t="str">
        <x:v>Excel (dashboards/pivot tables)</x:v>
      </x:c>
    </x:row>
    <x:row r="198">
      <x:c r="A198" s="9" t="str">
        <x:v>DA</x:v>
      </x:c>
      <x:c r="B198" s="9" t="str">
        <x:v>DA-019</x:v>
      </x:c>
      <x:c r="C198" s="9" t="str">
        <x:v>reporting_tools</x:v>
      </x:c>
      <x:c r="D198" s="9" t="str">
        <x:v>Power BI</x:v>
      </x:c>
    </x:row>
    <x:row r="199">
      <x:c r="A199" s="9" t="str">
        <x:v>DA</x:v>
      </x:c>
      <x:c r="B199" s="9" t="str">
        <x:v>DA-019</x:v>
      </x:c>
      <x:c r="C199" s="9" t="str">
        <x:v>tools</x:v>
      </x:c>
      <x:c r="D199" s="9" t="str">
        <x:v>Excel</x:v>
      </x:c>
    </x:row>
    <x:row r="200">
      <x:c r="A200" s="9" t="str">
        <x:v>DA</x:v>
      </x:c>
      <x:c r="B200" s="9" t="str">
        <x:v>DA-020</x:v>
      </x:c>
      <x:c r="C200" s="9" t="str">
        <x:v>core_skills</x:v>
      </x:c>
      <x:c r="D200" s="9" t="str">
        <x:v>SQL</x:v>
      </x:c>
    </x:row>
    <x:row r="201">
      <x:c r="A201" s="9" t="str">
        <x:v>DA</x:v>
      </x:c>
      <x:c r="B201" s="9" t="str">
        <x:v>DA-020</x:v>
      </x:c>
      <x:c r="C201" s="9" t="str">
        <x:v>reporting_tools</x:v>
      </x:c>
      <x:c r="D201" s="9" t="str">
        <x:v>Power BI</x:v>
      </x:c>
    </x:row>
    <x:row r="202">
      <x:c r="A202" s="9" t="str">
        <x:v>DA</x:v>
      </x:c>
      <x:c r="B202" s="9" t="str">
        <x:v>DA-020</x:v>
      </x:c>
      <x:c r="C202" s="9" t="str">
        <x:v>reporting_tools</x:v>
      </x:c>
      <x:c r="D202" s="9" t="str">
        <x:v>Tableau</x:v>
      </x:c>
    </x:row>
    <x:row r="203">
      <x:c r="A203" s="9" t="str">
        <x:v>DA</x:v>
      </x:c>
      <x:c r="B203" s="9" t="str">
        <x:v>DA-023</x:v>
      </x:c>
      <x:c r="C203" s="9" t="str">
        <x:v>core_skills</x:v>
      </x:c>
      <x:c r="D203" s="9" t="str">
        <x:v>Data Modelling</x:v>
      </x:c>
    </x:row>
    <x:row r="204">
      <x:c r="A204" s="9" t="str">
        <x:v>DA</x:v>
      </x:c>
      <x:c r="B204" s="9" t="str">
        <x:v>DA-023</x:v>
      </x:c>
      <x:c r="C204" s="9" t="str">
        <x:v>core_skills</x:v>
      </x:c>
      <x:c r="D204" s="9" t="str">
        <x:v>Python</x:v>
      </x:c>
    </x:row>
    <x:row r="205">
      <x:c r="A205" s="9" t="str">
        <x:v>DA</x:v>
      </x:c>
      <x:c r="B205" s="9" t="str">
        <x:v>DA-023</x:v>
      </x:c>
      <x:c r="C205" s="9" t="str">
        <x:v>reporting_tools</x:v>
      </x:c>
      <x:c r="D205" s="9" t="str">
        <x:v>Power BI</x:v>
      </x:c>
    </x:row>
    <x:row r="206">
      <x:c r="A206" s="9" t="str">
        <x:v>DA</x:v>
      </x:c>
      <x:c r="B206" s="9" t="str">
        <x:v>DA-023</x:v>
      </x:c>
      <x:c r="C206" s="9" t="str">
        <x:v>tools</x:v>
      </x:c>
      <x:c r="D206" s="9" t="str">
        <x:v>pandas</x:v>
      </x:c>
    </x:row>
    <x:row r="207">
      <x:c r="A207" s="9" t="str">
        <x:v>DA</x:v>
      </x:c>
      <x:c r="B207" s="9" t="str">
        <x:v>DA-024</x:v>
      </x:c>
      <x:c r="C207" s="9" t="str">
        <x:v>core_skills</x:v>
      </x:c>
      <x:c r="D207" s="9" t="str">
        <x:v>SQL</x:v>
      </x:c>
    </x:row>
    <x:row r="208">
      <x:c r="A208" s="9" t="str">
        <x:v>DA</x:v>
      </x:c>
      <x:c r="B208" s="9" t="str">
        <x:v>DA-024</x:v>
      </x:c>
      <x:c r="C208" s="9" t="str">
        <x:v>core_skills</x:v>
      </x:c>
      <x:c r="D208" s="9" t="str">
        <x:v>Statistics</x:v>
      </x:c>
    </x:row>
    <x:row r="209">
      <x:c r="A209" s="9" t="str">
        <x:v>DA</x:v>
      </x:c>
      <x:c r="B209" s="9" t="str">
        <x:v>DA-024</x:v>
      </x:c>
      <x:c r="C209" s="9" t="str">
        <x:v>reporting_tools</x:v>
      </x:c>
      <x:c r="D209" s="9" t="str">
        <x:v>Power BI</x:v>
      </x:c>
    </x:row>
    <x:row r="210">
      <x:c r="A210" s="9" t="str">
        <x:v>DA</x:v>
      </x:c>
      <x:c r="B210" s="9" t="str">
        <x:v>DA-024</x:v>
      </x:c>
      <x:c r="C210" s="9" t="str">
        <x:v>reporting_tools</x:v>
      </x:c>
      <x:c r="D210" s="9" t="str">
        <x:v>Tableau</x:v>
      </x:c>
    </x:row>
    <x:row r="211">
      <x:c r="A211" s="9" t="str">
        <x:v>DA</x:v>
      </x:c>
      <x:c r="B211" s="9" t="str">
        <x:v>DA-024</x:v>
      </x:c>
      <x:c r="C211" s="9" t="str">
        <x:v>reporting_tools</x:v>
      </x:c>
      <x:c r="D211" s="9" t="str">
        <x:v>Google Data Studio / Looker Studio</x:v>
      </x:c>
    </x:row>
    <x:row r="212">
      <x:c r="A212" s="9" t="str">
        <x:v>DA</x:v>
      </x:c>
      <x:c r="B212" s="9" t="str">
        <x:v>DA-024</x:v>
      </x:c>
      <x:c r="C212" s="9" t="str">
        <x:v>tools</x:v>
      </x:c>
      <x:c r="D212" s="9" t="str">
        <x:v>Excel</x:v>
      </x:c>
    </x:row>
    <x:row r="213">
      <x:c r="A213" s="9" t="str">
        <x:v>DA</x:v>
      </x:c>
      <x:c r="B213" s="9" t="str">
        <x:v>DA-025</x:v>
      </x:c>
      <x:c r="C213" s="9" t="str">
        <x:v>core_skills</x:v>
      </x:c>
      <x:c r="D213" s="9" t="str">
        <x:v>SQL</x:v>
      </x:c>
    </x:row>
    <x:row r="214">
      <x:c r="A214" s="9" t="str">
        <x:v>DA</x:v>
      </x:c>
      <x:c r="B214" s="9" t="str">
        <x:v>DA-025</x:v>
      </x:c>
      <x:c r="C214" s="9" t="str">
        <x:v>reporting_tools</x:v>
      </x:c>
      <x:c r="D214" s="9" t="str">
        <x:v>Power BI</x:v>
      </x:c>
    </x:row>
    <x:row r="215">
      <x:c r="A215" s="9" t="str">
        <x:v>DA</x:v>
      </x:c>
      <x:c r="B215" s="9" t="str">
        <x:v>DA-025</x:v>
      </x:c>
      <x:c r="C215" s="9" t="str">
        <x:v>reporting_tools</x:v>
      </x:c>
      <x:c r="D215" s="9" t="str">
        <x:v>Tableau</x:v>
      </x:c>
    </x:row>
    <x:row r="216">
      <x:c r="A216" s="9" t="str">
        <x:v>DA</x:v>
      </x:c>
      <x:c r="B216" s="9" t="str">
        <x:v>SE-023</x:v>
      </x:c>
      <x:c r="C216" s="9" t="str">
        <x:v>core_skills</x:v>
      </x:c>
      <x:c r="D216" s="9" t="str">
        <x:v>Python</x:v>
      </x:c>
    </x:row>
    <x:row r="217">
      <x:c r="A217" s="9" t="str">
        <x:v>DA</x:v>
      </x:c>
      <x:c r="B217" s="9" t="str">
        <x:v>SE-023</x:v>
      </x:c>
      <x:c r="C217" s="9" t="str">
        <x:v>core_skills</x:v>
      </x:c>
      <x:c r="D217" s="9" t="str">
        <x:v>SQL</x:v>
      </x:c>
    </x:row>
    <x:row r="218">
      <x:c r="A218" s="9" t="str">
        <x:v>DA</x:v>
      </x:c>
      <x:c r="B218" s="9" t="str">
        <x:v>SE-023</x:v>
      </x:c>
      <x:c r="C218" s="9" t="str">
        <x:v>tools</x:v>
      </x:c>
      <x:c r="D218" s="9" t="str">
        <x:v>Azure</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9" hidden="0" customWidth="1"/>
    <x:col min="2" max="2" width="12" hidden="0" customWidth="1"/>
    <x:col min="3" max="3" width="18" hidden="0" customWidth="1"/>
    <x:col min="4" max="4" width="38" hidden="0" customWidth="1"/>
    <x:col min="5" max="5" width="30" hidden="0" customWidth="1"/>
    <x:col min="6" max="6" width="36" hidden="0" customWidth="1"/>
    <x:col min="7" max="7" width="16" hidden="0" customWidth="1"/>
  </x:cols>
  <x:sheetData>
    <x:row r="1">
      <x:c r="A1" s="5" t="str">
        <x:v>Track</x:v>
      </x:c>
      <x:c r="B1" s="5" t="str">
        <x:v>Post ID</x:v>
      </x:c>
      <x:c r="C1" s="5" t="str">
        <x:v>Source field</x:v>
      </x:c>
      <x:c r="D1" s="5" t="str">
        <x:v>Original phrase</x:v>
      </x:c>
      <x:c r="E1" s="5" t="str">
        <x:v>Assigned theme</x:v>
      </x:c>
      <x:c r="F1" s="5" t="str">
        <x:v>Post-theme key</x:v>
      </x:c>
      <x:c r="G1" s="5" t="str">
        <x:v>Unique post-theme flag</x:v>
      </x:c>
    </x:row>
    <x:row r="2">
      <x:c r="A2" s="8" t="str">
        <x:v>SE</x:v>
      </x:c>
      <x:c r="B2" s="8" t="str">
        <x:v>SE-001</x:v>
      </x:c>
      <x:c r="C2" s="8" t="str">
        <x:v>Soft skill</x:v>
      </x:c>
      <x:c r="D2" s="16" t="str">
        <x:v>collaborative</x:v>
      </x:c>
      <x:c r="E2" s="16" t="str">
        <x:v>Collaboration</x:v>
      </x:c>
      <x:c r="F2" s="16" t="str">
        <x:v>SE|SE-001|Collaboration</x:v>
      </x:c>
      <x:c r="G2" s="8" t="n">
        <x:v>1</x:v>
      </x:c>
    </x:row>
    <x:row r="3">
      <x:c r="A3" s="9" t="str">
        <x:v>SE</x:v>
      </x:c>
      <x:c r="B3" s="9" t="str">
        <x:v>SE-001</x:v>
      </x:c>
      <x:c r="C3" s="9" t="str">
        <x:v>Soft skill</x:v>
      </x:c>
      <x:c r="D3" s="17" t="str">
        <x:v>problem-solving</x:v>
      </x:c>
      <x:c r="E3" s="17" t="str">
        <x:v>Problem-solving</x:v>
      </x:c>
      <x:c r="F3" s="17" t="str">
        <x:v>SE|SE-001|Problem-solving</x:v>
      </x:c>
      <x:c r="G3" s="9" t="n">
        <x:v>1</x:v>
      </x:c>
    </x:row>
    <x:row r="4">
      <x:c r="A4" s="9" t="str">
        <x:v>SE</x:v>
      </x:c>
      <x:c r="B4" s="9" t="str">
        <x:v>SE-001</x:v>
      </x:c>
      <x:c r="C4" s="9" t="str">
        <x:v>Soft skill</x:v>
      </x:c>
      <x:c r="D4" s="17" t="str">
        <x:v>interpersonal skills</x:v>
      </x:c>
      <x:c r="E4" s="17" t="str">
        <x:v>Interpersonal skills</x:v>
      </x:c>
      <x:c r="F4" s="17" t="str">
        <x:v>SE|SE-001|Interpersonal skills</x:v>
      </x:c>
      <x:c r="G4" s="9" t="n">
        <x:v>1</x:v>
      </x:c>
    </x:row>
    <x:row r="5">
      <x:c r="A5" s="9" t="str">
        <x:v>SE</x:v>
      </x:c>
      <x:c r="B5" s="9" t="str">
        <x:v>SE-001</x:v>
      </x:c>
      <x:c r="C5" s="9" t="str">
        <x:v>Soft skill</x:v>
      </x:c>
      <x:c r="D5" s="17" t="str">
        <x:v>Self-motivated</x:v>
      </x:c>
      <x:c r="E5" s="17" t="str">
        <x:v>Self-management</x:v>
      </x:c>
      <x:c r="F5" s="17" t="str">
        <x:v>SE|SE-001|Self-management</x:v>
      </x:c>
      <x:c r="G5" s="9" t="n">
        <x:v>1</x:v>
      </x:c>
    </x:row>
    <x:row r="6">
      <x:c r="A6" s="9" t="str">
        <x:v>SE</x:v>
      </x:c>
      <x:c r="B6" s="9" t="str">
        <x:v>SE-001</x:v>
      </x:c>
      <x:c r="C6" s="9" t="str">
        <x:v>Soft skill</x:v>
      </x:c>
      <x:c r="D6" s="17" t="str">
        <x:v>attention to detail</x:v>
      </x:c>
      <x:c r="E6" s="17" t="str">
        <x:v>Attention to detail</x:v>
      </x:c>
      <x:c r="F6" s="17" t="str">
        <x:v>SE|SE-001|Attention to detail</x:v>
      </x:c>
      <x:c r="G6" s="9" t="n">
        <x:v>1</x:v>
      </x:c>
    </x:row>
    <x:row r="7">
      <x:c r="A7" s="9" t="str">
        <x:v>SE</x:v>
      </x:c>
      <x:c r="B7" s="9" t="str">
        <x:v>SE-001</x:v>
      </x:c>
      <x:c r="C7" s="9" t="str">
        <x:v>Readiness signal</x:v>
      </x:c>
      <x:c r="D7" s="17" t="str">
        <x:v>eager to learn</x:v>
      </x:c>
      <x:c r="E7" s="17" t="str">
        <x:v>Learning and initiative</x:v>
      </x:c>
      <x:c r="F7" s="17" t="str">
        <x:v>SE|SE-001|Learning and initiative</x:v>
      </x:c>
      <x:c r="G7" s="9" t="n">
        <x:v>1</x:v>
      </x:c>
    </x:row>
    <x:row r="8">
      <x:c r="A8" s="9" t="str">
        <x:v>SE</x:v>
      </x:c>
      <x:c r="B8" s="9" t="str">
        <x:v>SE-002</x:v>
      </x:c>
      <x:c r="C8" s="9" t="str">
        <x:v>Soft skill</x:v>
      </x:c>
      <x:c r="D8" s="17" t="str">
        <x:v>analytical thinking</x:v>
      </x:c>
      <x:c r="E8" s="17" t="str">
        <x:v>Analytical thinking</x:v>
      </x:c>
      <x:c r="F8" s="17" t="str">
        <x:v>SE|SE-002|Analytical thinking</x:v>
      </x:c>
      <x:c r="G8" s="9" t="n">
        <x:v>1</x:v>
      </x:c>
    </x:row>
    <x:row r="9">
      <x:c r="A9" s="9" t="str">
        <x:v>SE</x:v>
      </x:c>
      <x:c r="B9" s="9" t="str">
        <x:v>SE-003</x:v>
      </x:c>
      <x:c r="C9" s="9" t="str">
        <x:v>Soft skill</x:v>
      </x:c>
      <x:c r="D9" s="17" t="str">
        <x:v>written and verbal communication skills</x:v>
      </x:c>
      <x:c r="E9" s="17" t="str">
        <x:v>Communication</x:v>
      </x:c>
      <x:c r="F9" s="17" t="str">
        <x:v>SE|SE-003|Communication</x:v>
      </x:c>
      <x:c r="G9" s="9" t="n">
        <x:v>1</x:v>
      </x:c>
    </x:row>
    <x:row r="10">
      <x:c r="A10" s="9" t="str">
        <x:v>SE</x:v>
      </x:c>
      <x:c r="B10" s="9" t="str">
        <x:v>SE-003</x:v>
      </x:c>
      <x:c r="C10" s="9" t="str">
        <x:v>Soft skill</x:v>
      </x:c>
      <x:c r="D10" s="17" t="str">
        <x:v>communication skills</x:v>
      </x:c>
      <x:c r="E10" s="17" t="str">
        <x:v>Communication</x:v>
      </x:c>
      <x:c r="F10" s="17" t="str">
        <x:v>SE|SE-003|Communication</x:v>
      </x:c>
      <x:c r="G10" s="9" t="n">
        <x:v>0</x:v>
      </x:c>
    </x:row>
    <x:row r="11">
      <x:c r="A11" s="9" t="str">
        <x:v>SE</x:v>
      </x:c>
      <x:c r="B11" s="9" t="str">
        <x:v>SE-003</x:v>
      </x:c>
      <x:c r="C11" s="9" t="str">
        <x:v>Soft skill</x:v>
      </x:c>
      <x:c r="D11" s="17" t="str">
        <x:v>attention to detail</x:v>
      </x:c>
      <x:c r="E11" s="17" t="str">
        <x:v>Attention to detail</x:v>
      </x:c>
      <x:c r="F11" s="17" t="str">
        <x:v>SE|SE-003|Attention to detail</x:v>
      </x:c>
      <x:c r="G11" s="9" t="n">
        <x:v>1</x:v>
      </x:c>
    </x:row>
    <x:row r="12">
      <x:c r="A12" s="9" t="str">
        <x:v>SE</x:v>
      </x:c>
      <x:c r="B12" s="9" t="str">
        <x:v>SE-003</x:v>
      </x:c>
      <x:c r="C12" s="9" t="str">
        <x:v>Soft skill</x:v>
      </x:c>
      <x:c r="D12" s="17" t="str">
        <x:v>collaboration</x:v>
      </x:c>
      <x:c r="E12" s="17" t="str">
        <x:v>Collaboration</x:v>
      </x:c>
      <x:c r="F12" s="17" t="str">
        <x:v>SE|SE-003|Collaboration</x:v>
      </x:c>
      <x:c r="G12" s="9" t="n">
        <x:v>1</x:v>
      </x:c>
    </x:row>
    <x:row r="13">
      <x:c r="A13" s="9" t="str">
        <x:v>SE</x:v>
      </x:c>
      <x:c r="B13" s="9" t="str">
        <x:v>SE-003</x:v>
      </x:c>
      <x:c r="C13" s="9" t="str">
        <x:v>Soft skill</x:v>
      </x:c>
      <x:c r="D13" s="17" t="str">
        <x:v>Problem-solving</x:v>
      </x:c>
      <x:c r="E13" s="17" t="str">
        <x:v>Problem-solving</x:v>
      </x:c>
      <x:c r="F13" s="17" t="str">
        <x:v>SE|SE-003|Problem-solving</x:v>
      </x:c>
      <x:c r="G13" s="9" t="n">
        <x:v>1</x:v>
      </x:c>
    </x:row>
    <x:row r="14">
      <x:c r="A14" s="9" t="str">
        <x:v>SE</x:v>
      </x:c>
      <x:c r="B14" s="9" t="str">
        <x:v>SE-003</x:v>
      </x:c>
      <x:c r="C14" s="9" t="str">
        <x:v>Soft skill</x:v>
      </x:c>
      <x:c r="D14" s="17" t="str">
        <x:v>critical thinking</x:v>
      </x:c>
      <x:c r="E14" s="17" t="str">
        <x:v>Analytical thinking</x:v>
      </x:c>
      <x:c r="F14" s="17" t="str">
        <x:v>SE|SE-003|Analytical thinking</x:v>
      </x:c>
      <x:c r="G14" s="9" t="n">
        <x:v>1</x:v>
      </x:c>
    </x:row>
    <x:row r="15">
      <x:c r="A15" s="9" t="str">
        <x:v>SE</x:v>
      </x:c>
      <x:c r="B15" s="9" t="str">
        <x:v>SE-003</x:v>
      </x:c>
      <x:c r="C15" s="9" t="str">
        <x:v>Soft skill</x:v>
      </x:c>
      <x:c r="D15" s="17" t="str">
        <x:v>adaptability</x:v>
      </x:c>
      <x:c r="E15" s="17" t="str">
        <x:v>Adaptability</x:v>
      </x:c>
      <x:c r="F15" s="17" t="str">
        <x:v>SE|SE-003|Adaptability</x:v>
      </x:c>
      <x:c r="G15" s="9" t="n">
        <x:v>1</x:v>
      </x:c>
    </x:row>
    <x:row r="16">
      <x:c r="A16" s="9" t="str">
        <x:v>SE</x:v>
      </x:c>
      <x:c r="B16" s="9" t="str">
        <x:v>SE-003</x:v>
      </x:c>
      <x:c r="C16" s="9" t="str">
        <x:v>Readiness signal</x:v>
      </x:c>
      <x:c r="D16" s="17" t="str">
        <x:v>cross-functional collaboration</x:v>
      </x:c>
      <x:c r="E16" s="17" t="str">
        <x:v>Collaboration</x:v>
      </x:c>
      <x:c r="F16" s="17" t="str">
        <x:v>SE|SE-003|Collaboration</x:v>
      </x:c>
      <x:c r="G16" s="9" t="n">
        <x:v>0</x:v>
      </x:c>
    </x:row>
    <x:row r="17">
      <x:c r="A17" s="9" t="str">
        <x:v>SE</x:v>
      </x:c>
      <x:c r="B17" s="9" t="str">
        <x:v>SE-004</x:v>
      </x:c>
      <x:c r="C17" s="9" t="str">
        <x:v>Soft skill</x:v>
      </x:c>
      <x:c r="D17" s="17" t="str">
        <x:v>problem-solving skills</x:v>
      </x:c>
      <x:c r="E17" s="17" t="str">
        <x:v>Problem-solving</x:v>
      </x:c>
      <x:c r="F17" s="17" t="str">
        <x:v>SE|SE-004|Problem-solving</x:v>
      </x:c>
      <x:c r="G17" s="9" t="n">
        <x:v>1</x:v>
      </x:c>
    </x:row>
    <x:row r="18">
      <x:c r="A18" s="9" t="str">
        <x:v>SE</x:v>
      </x:c>
      <x:c r="B18" s="9" t="str">
        <x:v>SE-004</x:v>
      </x:c>
      <x:c r="C18" s="9" t="str">
        <x:v>Soft skill</x:v>
      </x:c>
      <x:c r="D18" s="17" t="str">
        <x:v>Collaborate</x:v>
      </x:c>
      <x:c r="E18" s="17" t="str">
        <x:v>Collaboration</x:v>
      </x:c>
      <x:c r="F18" s="17" t="str">
        <x:v>SE|SE-004|Collaboration</x:v>
      </x:c>
      <x:c r="G18" s="9" t="n">
        <x:v>1</x:v>
      </x:c>
    </x:row>
    <x:row r="19">
      <x:c r="A19" s="9" t="str">
        <x:v>SE</x:v>
      </x:c>
      <x:c r="B19" s="9" t="str">
        <x:v>SE-004</x:v>
      </x:c>
      <x:c r="C19" s="9" t="str">
        <x:v>Readiness signal</x:v>
      </x:c>
      <x:c r="D19" s="17" t="str">
        <x:v>Graduate Programme</x:v>
      </x:c>
      <x:c r="E19" s="17" t="str">
        <x:v>Professional exposure</x:v>
      </x:c>
      <x:c r="F19" s="17" t="str">
        <x:v>SE|SE-004|Professional exposure</x:v>
      </x:c>
      <x:c r="G19" s="9" t="n">
        <x:v>1</x:v>
      </x:c>
    </x:row>
    <x:row r="20">
      <x:c r="A20" s="9" t="str">
        <x:v>SE</x:v>
      </x:c>
      <x:c r="B20" s="9" t="str">
        <x:v>SE-005</x:v>
      </x:c>
      <x:c r="C20" s="9" t="str">
        <x:v>Soft skill</x:v>
      </x:c>
      <x:c r="D20" s="17" t="str">
        <x:v>collaboration</x:v>
      </x:c>
      <x:c r="E20" s="17" t="str">
        <x:v>Collaboration</x:v>
      </x:c>
      <x:c r="F20" s="17" t="str">
        <x:v>SE|SE-005|Collaboration</x:v>
      </x:c>
      <x:c r="G20" s="9" t="n">
        <x:v>1</x:v>
      </x:c>
    </x:row>
    <x:row r="21">
      <x:c r="A21" s="9" t="str">
        <x:v>SE</x:v>
      </x:c>
      <x:c r="B21" s="9" t="str">
        <x:v>SE-005</x:v>
      </x:c>
      <x:c r="C21" s="9" t="str">
        <x:v>Soft skill</x:v>
      </x:c>
      <x:c r="D21" s="17" t="str">
        <x:v>interpersonal skills</x:v>
      </x:c>
      <x:c r="E21" s="17" t="str">
        <x:v>Interpersonal skills</x:v>
      </x:c>
      <x:c r="F21" s="17" t="str">
        <x:v>SE|SE-005|Interpersonal skills</x:v>
      </x:c>
      <x:c r="G21" s="9" t="n">
        <x:v>1</x:v>
      </x:c>
    </x:row>
    <x:row r="22">
      <x:c r="A22" s="9" t="str">
        <x:v>SE</x:v>
      </x:c>
      <x:c r="B22" s="9" t="str">
        <x:v>SE-005</x:v>
      </x:c>
      <x:c r="C22" s="9" t="str">
        <x:v>Soft skill</x:v>
      </x:c>
      <x:c r="D22" s="17" t="str">
        <x:v>Problem-solving</x:v>
      </x:c>
      <x:c r="E22" s="17" t="str">
        <x:v>Problem-solving</x:v>
      </x:c>
      <x:c r="F22" s="17" t="str">
        <x:v>SE|SE-005|Problem-solving</x:v>
      </x:c>
      <x:c r="G22" s="9" t="n">
        <x:v>1</x:v>
      </x:c>
    </x:row>
    <x:row r="23">
      <x:c r="A23" s="9" t="str">
        <x:v>SE</x:v>
      </x:c>
      <x:c r="B23" s="9" t="str">
        <x:v>SE-007</x:v>
      </x:c>
      <x:c r="C23" s="9" t="str">
        <x:v>Readiness signal</x:v>
      </x:c>
      <x:c r="D23" s="17" t="str">
        <x:v>client-facing</x:v>
      </x:c>
      <x:c r="E23" s="17" t="str">
        <x:v>Client or stakeholder interaction</x:v>
      </x:c>
      <x:c r="F23" s="17" t="str">
        <x:v>SE|SE-007|Client or stakeholder interaction</x:v>
      </x:c>
      <x:c r="G23" s="9" t="n">
        <x:v>1</x:v>
      </x:c>
    </x:row>
    <x:row r="24">
      <x:c r="A24" s="9" t="str">
        <x:v>SE</x:v>
      </x:c>
      <x:c r="B24" s="9" t="str">
        <x:v>SE-007</x:v>
      </x:c>
      <x:c r="C24" s="9" t="str">
        <x:v>Readiness signal</x:v>
      </x:c>
      <x:c r="D24" s="17" t="str">
        <x:v>working independently</x:v>
      </x:c>
      <x:c r="E24" s="17" t="str">
        <x:v>Self-management</x:v>
      </x:c>
      <x:c r="F24" s="17" t="str">
        <x:v>SE|SE-007|Self-management</x:v>
      </x:c>
      <x:c r="G24" s="9" t="n">
        <x:v>1</x:v>
      </x:c>
    </x:row>
    <x:row r="25">
      <x:c r="A25" s="9" t="str">
        <x:v>SE</x:v>
      </x:c>
      <x:c r="B25" s="9" t="str">
        <x:v>SE-008</x:v>
      </x:c>
      <x:c r="C25" s="9" t="str">
        <x:v>Soft skill</x:v>
      </x:c>
      <x:c r="D25" s="17" t="str">
        <x:v>collaborative</x:v>
      </x:c>
      <x:c r="E25" s="17" t="str">
        <x:v>Collaboration</x:v>
      </x:c>
      <x:c r="F25" s="17" t="str">
        <x:v>SE|SE-008|Collaboration</x:v>
      </x:c>
      <x:c r="G25" s="9" t="n">
        <x:v>1</x:v>
      </x:c>
    </x:row>
    <x:row r="26">
      <x:c r="A26" s="9" t="str">
        <x:v>SE</x:v>
      </x:c>
      <x:c r="B26" s="9" t="str">
        <x:v>SE-008</x:v>
      </x:c>
      <x:c r="C26" s="9" t="str">
        <x:v>Soft skill</x:v>
      </x:c>
      <x:c r="D26" s="17" t="str">
        <x:v>problem-solving</x:v>
      </x:c>
      <x:c r="E26" s="17" t="str">
        <x:v>Problem-solving</x:v>
      </x:c>
      <x:c r="F26" s="17" t="str">
        <x:v>SE|SE-008|Problem-solving</x:v>
      </x:c>
      <x:c r="G26" s="9" t="n">
        <x:v>1</x:v>
      </x:c>
    </x:row>
    <x:row r="27">
      <x:c r="A27" s="9" t="str">
        <x:v>SE</x:v>
      </x:c>
      <x:c r="B27" s="9" t="str">
        <x:v>SE-008</x:v>
      </x:c>
      <x:c r="C27" s="9" t="str">
        <x:v>Soft skill</x:v>
      </x:c>
      <x:c r="D27" s="17" t="str">
        <x:v>Analytical thinking</x:v>
      </x:c>
      <x:c r="E27" s="17" t="str">
        <x:v>Analytical thinking</x:v>
      </x:c>
      <x:c r="F27" s="17" t="str">
        <x:v>SE|SE-008|Analytical thinking</x:v>
      </x:c>
      <x:c r="G27" s="9" t="n">
        <x:v>1</x:v>
      </x:c>
    </x:row>
    <x:row r="28">
      <x:c r="A28" s="9" t="str">
        <x:v>SE</x:v>
      </x:c>
      <x:c r="B28" s="9" t="str">
        <x:v>SE-008</x:v>
      </x:c>
      <x:c r="C28" s="9" t="str">
        <x:v>Soft skill</x:v>
      </x:c>
      <x:c r="D28" s="17" t="str">
        <x:v>Teamwork</x:v>
      </x:c>
      <x:c r="E28" s="17" t="str">
        <x:v>Collaboration</x:v>
      </x:c>
      <x:c r="F28" s="17" t="str">
        <x:v>SE|SE-008|Collaboration</x:v>
      </x:c>
      <x:c r="G28" s="9" t="n">
        <x:v>0</x:v>
      </x:c>
    </x:row>
    <x:row r="29">
      <x:c r="A29" s="9" t="str">
        <x:v>SE</x:v>
      </x:c>
      <x:c r="B29" s="9" t="str">
        <x:v>SE-008</x:v>
      </x:c>
      <x:c r="C29" s="9" t="str">
        <x:v>Soft skill</x:v>
      </x:c>
      <x:c r="D29" s="17" t="str">
        <x:v>Attention to detail</x:v>
      </x:c>
      <x:c r="E29" s="17" t="str">
        <x:v>Attention to detail</x:v>
      </x:c>
      <x:c r="F29" s="17" t="str">
        <x:v>SE|SE-008|Attention to detail</x:v>
      </x:c>
      <x:c r="G29" s="9" t="n">
        <x:v>1</x:v>
      </x:c>
    </x:row>
    <x:row r="30">
      <x:c r="A30" s="9" t="str">
        <x:v>SE</x:v>
      </x:c>
      <x:c r="B30" s="9" t="str">
        <x:v>SE-008</x:v>
      </x:c>
      <x:c r="C30" s="9" t="str">
        <x:v>Soft skill</x:v>
      </x:c>
      <x:c r="D30" s="17" t="str">
        <x:v>Adaptability</x:v>
      </x:c>
      <x:c r="E30" s="17" t="str">
        <x:v>Adaptability</x:v>
      </x:c>
      <x:c r="F30" s="17" t="str">
        <x:v>SE|SE-008|Adaptability</x:v>
      </x:c>
      <x:c r="G30" s="9" t="n">
        <x:v>1</x:v>
      </x:c>
    </x:row>
    <x:row r="31">
      <x:c r="A31" s="9" t="str">
        <x:v>SE</x:v>
      </x:c>
      <x:c r="B31" s="9" t="str">
        <x:v>SE-008</x:v>
      </x:c>
      <x:c r="C31" s="9" t="str">
        <x:v>Soft skill</x:v>
      </x:c>
      <x:c r="D31" s="17" t="str">
        <x:v>Time management</x:v>
      </x:c>
      <x:c r="E31" s="17" t="str">
        <x:v>Self-management</x:v>
      </x:c>
      <x:c r="F31" s="17" t="str">
        <x:v>SE|SE-008|Self-management</x:v>
      </x:c>
      <x:c r="G31" s="9" t="n">
        <x:v>1</x:v>
      </x:c>
    </x:row>
    <x:row r="32">
      <x:c r="A32" s="9" t="str">
        <x:v>SE</x:v>
      </x:c>
      <x:c r="B32" s="9" t="str">
        <x:v>SE-008</x:v>
      </x:c>
      <x:c r="C32" s="9" t="str">
        <x:v>Readiness signal</x:v>
      </x:c>
      <x:c r="D32" s="17" t="str">
        <x:v>Continuous learning</x:v>
      </x:c>
      <x:c r="E32" s="17" t="str">
        <x:v>Learning and initiative</x:v>
      </x:c>
      <x:c r="F32" s="17" t="str">
        <x:v>SE|SE-008|Learning and initiative</x:v>
      </x:c>
      <x:c r="G32" s="9" t="n">
        <x:v>1</x:v>
      </x:c>
    </x:row>
    <x:row r="33">
      <x:c r="A33" s="9" t="str">
        <x:v>SE</x:v>
      </x:c>
      <x:c r="B33" s="9" t="str">
        <x:v>SE-008</x:v>
      </x:c>
      <x:c r="C33" s="9" t="str">
        <x:v>Readiness signal</x:v>
      </x:c>
      <x:c r="D33" s="17" t="str">
        <x:v>willingness to learn</x:v>
      </x:c>
      <x:c r="E33" s="17" t="str">
        <x:v>Learning and initiative</x:v>
      </x:c>
      <x:c r="F33" s="17" t="str">
        <x:v>SE|SE-008|Learning and initiative</x:v>
      </x:c>
      <x:c r="G33" s="9" t="n">
        <x:v>0</x:v>
      </x:c>
    </x:row>
    <x:row r="34">
      <x:c r="A34" s="9" t="str">
        <x:v>SE</x:v>
      </x:c>
      <x:c r="B34" s="9" t="str">
        <x:v>SE-011</x:v>
      </x:c>
      <x:c r="C34" s="9" t="str">
        <x:v>Soft skill</x:v>
      </x:c>
      <x:c r="D34" s="17" t="str">
        <x:v>Collaborate</x:v>
      </x:c>
      <x:c r="E34" s="17" t="str">
        <x:v>Collaboration</x:v>
      </x:c>
      <x:c r="F34" s="17" t="str">
        <x:v>SE|SE-011|Collaboration</x:v>
      </x:c>
      <x:c r="G34" s="9" t="n">
        <x:v>1</x:v>
      </x:c>
    </x:row>
    <x:row r="35">
      <x:c r="A35" s="9" t="str">
        <x:v>SE</x:v>
      </x:c>
      <x:c r="B35" s="9" t="str">
        <x:v>SE-011</x:v>
      </x:c>
      <x:c r="C35" s="9" t="str">
        <x:v>Soft skill</x:v>
      </x:c>
      <x:c r="D35" s="17" t="str">
        <x:v>Problem-Solving</x:v>
      </x:c>
      <x:c r="E35" s="17" t="str">
        <x:v>Problem-solving</x:v>
      </x:c>
      <x:c r="F35" s="17" t="str">
        <x:v>SE|SE-011|Problem-solving</x:v>
      </x:c>
      <x:c r="G35" s="9" t="n">
        <x:v>1</x:v>
      </x:c>
    </x:row>
    <x:row r="36">
      <x:c r="A36" s="9" t="str">
        <x:v>SE</x:v>
      </x:c>
      <x:c r="B36" s="9" t="str">
        <x:v>SE-011</x:v>
      </x:c>
      <x:c r="C36" s="9" t="str">
        <x:v>Soft skill</x:v>
      </x:c>
      <x:c r="D36" s="17" t="str">
        <x:v>communication skills</x:v>
      </x:c>
      <x:c r="E36" s="17" t="str">
        <x:v>Communication</x:v>
      </x:c>
      <x:c r="F36" s="17" t="str">
        <x:v>SE|SE-011|Communication</x:v>
      </x:c>
      <x:c r="G36" s="9" t="n">
        <x:v>1</x:v>
      </x:c>
    </x:row>
    <x:row r="37">
      <x:c r="A37" s="9" t="str">
        <x:v>SE</x:v>
      </x:c>
      <x:c r="B37" s="9" t="str">
        <x:v>SE-011</x:v>
      </x:c>
      <x:c r="C37" s="9" t="str">
        <x:v>Readiness signal</x:v>
      </x:c>
      <x:c r="D37" s="17" t="str">
        <x:v>Continuous Learning</x:v>
      </x:c>
      <x:c r="E37" s="17" t="str">
        <x:v>Learning and initiative</x:v>
      </x:c>
      <x:c r="F37" s="17" t="str">
        <x:v>SE|SE-011|Learning and initiative</x:v>
      </x:c>
      <x:c r="G37" s="9" t="n">
        <x:v>1</x:v>
      </x:c>
    </x:row>
    <x:row r="38">
      <x:c r="A38" s="9" t="str">
        <x:v>SE</x:v>
      </x:c>
      <x:c r="B38" s="9" t="str">
        <x:v>SE-013</x:v>
      </x:c>
      <x:c r="C38" s="9" t="str">
        <x:v>Soft skill</x:v>
      </x:c>
      <x:c r="D38" s="17" t="str">
        <x:v>collaborate</x:v>
      </x:c>
      <x:c r="E38" s="17" t="str">
        <x:v>Collaboration</x:v>
      </x:c>
      <x:c r="F38" s="17" t="str">
        <x:v>SE|SE-013|Collaboration</x:v>
      </x:c>
      <x:c r="G38" s="9" t="n">
        <x:v>1</x:v>
      </x:c>
    </x:row>
    <x:row r="39">
      <x:c r="A39" s="9" t="str">
        <x:v>SE</x:v>
      </x:c>
      <x:c r="B39" s="9" t="str">
        <x:v>SE-015</x:v>
      </x:c>
      <x:c r="C39" s="9" t="str">
        <x:v>Soft skill</x:v>
      </x:c>
      <x:c r="D39" s="17" t="str">
        <x:v>collaborative</x:v>
      </x:c>
      <x:c r="E39" s="17" t="str">
        <x:v>Collaboration</x:v>
      </x:c>
      <x:c r="F39" s="17" t="str">
        <x:v>SE|SE-015|Collaboration</x:v>
      </x:c>
      <x:c r="G39" s="9" t="n">
        <x:v>1</x:v>
      </x:c>
    </x:row>
    <x:row r="40">
      <x:c r="A40" s="9" t="str">
        <x:v>SE</x:v>
      </x:c>
      <x:c r="B40" s="9" t="str">
        <x:v>SE-015</x:v>
      </x:c>
      <x:c r="C40" s="9" t="str">
        <x:v>Soft skill</x:v>
      </x:c>
      <x:c r="D40" s="17" t="str">
        <x:v>problem-solving</x:v>
      </x:c>
      <x:c r="E40" s="17" t="str">
        <x:v>Problem-solving</x:v>
      </x:c>
      <x:c r="F40" s="17" t="str">
        <x:v>SE|SE-015|Problem-solving</x:v>
      </x:c>
      <x:c r="G40" s="9" t="n">
        <x:v>1</x:v>
      </x:c>
    </x:row>
    <x:row r="41">
      <x:c r="A41" s="9" t="str">
        <x:v>SE</x:v>
      </x:c>
      <x:c r="B41" s="9" t="str">
        <x:v>SE-015</x:v>
      </x:c>
      <x:c r="C41" s="9" t="str">
        <x:v>Soft skill</x:v>
      </x:c>
      <x:c r="D41" s="17" t="str">
        <x:v>Attention to detail</x:v>
      </x:c>
      <x:c r="E41" s="17" t="str">
        <x:v>Attention to detail</x:v>
      </x:c>
      <x:c r="F41" s="17" t="str">
        <x:v>SE|SE-015|Attention to detail</x:v>
      </x:c>
      <x:c r="G41" s="9" t="n">
        <x:v>1</x:v>
      </x:c>
    </x:row>
    <x:row r="42">
      <x:c r="A42" s="9" t="str">
        <x:v>SE</x:v>
      </x:c>
      <x:c r="B42" s="9" t="str">
        <x:v>SE-015</x:v>
      </x:c>
      <x:c r="C42" s="9" t="str">
        <x:v>Soft skill</x:v>
      </x:c>
      <x:c r="D42" s="17" t="str">
        <x:v>teamwork</x:v>
      </x:c>
      <x:c r="E42" s="17" t="str">
        <x:v>Collaboration</x:v>
      </x:c>
      <x:c r="F42" s="17" t="str">
        <x:v>SE|SE-015|Collaboration</x:v>
      </x:c>
      <x:c r="G42" s="9" t="n">
        <x:v>0</x:v>
      </x:c>
    </x:row>
    <x:row r="43">
      <x:c r="A43" s="9" t="str">
        <x:v>SE</x:v>
      </x:c>
      <x:c r="B43" s="9" t="str">
        <x:v>SE-016</x:v>
      </x:c>
      <x:c r="C43" s="9" t="str">
        <x:v>Soft skill</x:v>
      </x:c>
      <x:c r="D43" s="17" t="str">
        <x:v>collaborative</x:v>
      </x:c>
      <x:c r="E43" s="17" t="str">
        <x:v>Collaboration</x:v>
      </x:c>
      <x:c r="F43" s="17" t="str">
        <x:v>SE|SE-016|Collaboration</x:v>
      </x:c>
      <x:c r="G43" s="9" t="n">
        <x:v>1</x:v>
      </x:c>
    </x:row>
    <x:row r="44">
      <x:c r="A44" s="9" t="str">
        <x:v>SE</x:v>
      </x:c>
      <x:c r="B44" s="9" t="str">
        <x:v>SE-018</x:v>
      </x:c>
      <x:c r="C44" s="9" t="str">
        <x:v>Soft skill</x:v>
      </x:c>
      <x:c r="D44" s="17" t="str">
        <x:v>Collaborate</x:v>
      </x:c>
      <x:c r="E44" s="17" t="str">
        <x:v>Collaboration</x:v>
      </x:c>
      <x:c r="F44" s="17" t="str">
        <x:v>SE|SE-018|Collaboration</x:v>
      </x:c>
      <x:c r="G44" s="9" t="n">
        <x:v>1</x:v>
      </x:c>
    </x:row>
    <x:row r="45">
      <x:c r="A45" s="9" t="str">
        <x:v>SE</x:v>
      </x:c>
      <x:c r="B45" s="9" t="str">
        <x:v>SE-018</x:v>
      </x:c>
      <x:c r="C45" s="9" t="str">
        <x:v>Soft skill</x:v>
      </x:c>
      <x:c r="D45" s="17" t="str">
        <x:v>problem-solving</x:v>
      </x:c>
      <x:c r="E45" s="17" t="str">
        <x:v>Problem-solving</x:v>
      </x:c>
      <x:c r="F45" s="17" t="str">
        <x:v>SE|SE-018|Problem-solving</x:v>
      </x:c>
      <x:c r="G45" s="9" t="n">
        <x:v>1</x:v>
      </x:c>
    </x:row>
    <x:row r="46">
      <x:c r="A46" s="9" t="str">
        <x:v>SE</x:v>
      </x:c>
      <x:c r="B46" s="9" t="str">
        <x:v>SE-018</x:v>
      </x:c>
      <x:c r="C46" s="9" t="str">
        <x:v>Soft skill</x:v>
      </x:c>
      <x:c r="D46" s="17" t="str">
        <x:v>communication skills</x:v>
      </x:c>
      <x:c r="E46" s="17" t="str">
        <x:v>Communication</x:v>
      </x:c>
      <x:c r="F46" s="17" t="str">
        <x:v>SE|SE-018|Communication</x:v>
      </x:c>
      <x:c r="G46" s="9" t="n">
        <x:v>1</x:v>
      </x:c>
    </x:row>
    <x:row r="47">
      <x:c r="A47" s="9" t="str">
        <x:v>SE</x:v>
      </x:c>
      <x:c r="B47" s="9" t="str">
        <x:v>SE-018</x:v>
      </x:c>
      <x:c r="C47" s="9" t="str">
        <x:v>Readiness signal</x:v>
      </x:c>
      <x:c r="D47" s="17" t="str">
        <x:v>continuous learning</x:v>
      </x:c>
      <x:c r="E47" s="17" t="str">
        <x:v>Learning and initiative</x:v>
      </x:c>
      <x:c r="F47" s="17" t="str">
        <x:v>SE|SE-018|Learning and initiative</x:v>
      </x:c>
      <x:c r="G47" s="9" t="n">
        <x:v>1</x:v>
      </x:c>
    </x:row>
    <x:row r="48">
      <x:c r="A48" s="9" t="str">
        <x:v>SE</x:v>
      </x:c>
      <x:c r="B48" s="9" t="str">
        <x:v>SE-020</x:v>
      </x:c>
      <x:c r="C48" s="9" t="str">
        <x:v>Soft skill</x:v>
      </x:c>
      <x:c r="D48" s="17" t="str">
        <x:v>self-motivated</x:v>
      </x:c>
      <x:c r="E48" s="17" t="str">
        <x:v>Self-management</x:v>
      </x:c>
      <x:c r="F48" s="17" t="str">
        <x:v>SE|SE-020|Self-management</x:v>
      </x:c>
      <x:c r="G48" s="9" t="n">
        <x:v>1</x:v>
      </x:c>
    </x:row>
    <x:row r="49">
      <x:c r="A49" s="9" t="str">
        <x:v>SE</x:v>
      </x:c>
      <x:c r="B49" s="9" t="str">
        <x:v>SE-020</x:v>
      </x:c>
      <x:c r="C49" s="9" t="str">
        <x:v>Soft skill</x:v>
      </x:c>
      <x:c r="D49" s="17" t="str">
        <x:v>collaborate</x:v>
      </x:c>
      <x:c r="E49" s="17" t="str">
        <x:v>Collaboration</x:v>
      </x:c>
      <x:c r="F49" s="17" t="str">
        <x:v>SE|SE-020|Collaboration</x:v>
      </x:c>
      <x:c r="G49" s="9" t="n">
        <x:v>1</x:v>
      </x:c>
    </x:row>
    <x:row r="50">
      <x:c r="A50" s="9" t="str">
        <x:v>SE</x:v>
      </x:c>
      <x:c r="B50" s="9" t="str">
        <x:v>SE-020</x:v>
      </x:c>
      <x:c r="C50" s="9" t="str">
        <x:v>Soft skill</x:v>
      </x:c>
      <x:c r="D50" s="17" t="str">
        <x:v>communication skills</x:v>
      </x:c>
      <x:c r="E50" s="17" t="str">
        <x:v>Communication</x:v>
      </x:c>
      <x:c r="F50" s="17" t="str">
        <x:v>SE|SE-020|Communication</x:v>
      </x:c>
      <x:c r="G50" s="9" t="n">
        <x:v>1</x:v>
      </x:c>
    </x:row>
    <x:row r="51">
      <x:c r="A51" s="9" t="str">
        <x:v>SE</x:v>
      </x:c>
      <x:c r="B51" s="9" t="str">
        <x:v>SE-021</x:v>
      </x:c>
      <x:c r="C51" s="9" t="str">
        <x:v>Soft skill</x:v>
      </x:c>
      <x:c r="D51" s="17" t="str">
        <x:v>Collaborate</x:v>
      </x:c>
      <x:c r="E51" s="17" t="str">
        <x:v>Collaboration</x:v>
      </x:c>
      <x:c r="F51" s="17" t="str">
        <x:v>SE|SE-021|Collaboration</x:v>
      </x:c>
      <x:c r="G51" s="9" t="n">
        <x:v>1</x:v>
      </x:c>
    </x:row>
    <x:row r="52">
      <x:c r="A52" s="9" t="str">
        <x:v>SE</x:v>
      </x:c>
      <x:c r="B52" s="9" t="str">
        <x:v>SE-021</x:v>
      </x:c>
      <x:c r="C52" s="9" t="str">
        <x:v>Soft skill</x:v>
      </x:c>
      <x:c r="D52" s="17" t="str">
        <x:v>communication skills</x:v>
      </x:c>
      <x:c r="E52" s="17" t="str">
        <x:v>Communication</x:v>
      </x:c>
      <x:c r="F52" s="17" t="str">
        <x:v>SE|SE-021|Communication</x:v>
      </x:c>
      <x:c r="G52" s="9" t="n">
        <x:v>1</x:v>
      </x:c>
    </x:row>
    <x:row r="53">
      <x:c r="A53" s="9" t="str">
        <x:v>SE</x:v>
      </x:c>
      <x:c r="B53" s="9" t="str">
        <x:v>SE-021</x:v>
      </x:c>
      <x:c r="C53" s="9" t="str">
        <x:v>Soft skill</x:v>
      </x:c>
      <x:c r="D53" s="17" t="str">
        <x:v>problem-solving</x:v>
      </x:c>
      <x:c r="E53" s="17" t="str">
        <x:v>Problem-solving</x:v>
      </x:c>
      <x:c r="F53" s="17" t="str">
        <x:v>SE|SE-021|Problem-solving</x:v>
      </x:c>
      <x:c r="G53" s="9" t="n">
        <x:v>1</x:v>
      </x:c>
    </x:row>
    <x:row r="54">
      <x:c r="A54" s="9" t="str">
        <x:v>SE</x:v>
      </x:c>
      <x:c r="B54" s="9" t="str">
        <x:v>SE-021</x:v>
      </x:c>
      <x:c r="C54" s="9" t="str">
        <x:v>Soft skill</x:v>
      </x:c>
      <x:c r="D54" s="17" t="str">
        <x:v>Self-motivated</x:v>
      </x:c>
      <x:c r="E54" s="17" t="str">
        <x:v>Self-management</x:v>
      </x:c>
      <x:c r="F54" s="17" t="str">
        <x:v>SE|SE-021|Self-management</x:v>
      </x:c>
      <x:c r="G54" s="9" t="n">
        <x:v>1</x:v>
      </x:c>
    </x:row>
    <x:row r="55">
      <x:c r="A55" s="9" t="str">
        <x:v>SE</x:v>
      </x:c>
      <x:c r="B55" s="9" t="str">
        <x:v>SE-021</x:v>
      </x:c>
      <x:c r="C55" s="9" t="str">
        <x:v>Soft skill</x:v>
      </x:c>
      <x:c r="D55" s="17" t="str">
        <x:v>adaptable</x:v>
      </x:c>
      <x:c r="E55" s="17" t="str">
        <x:v>Adaptability</x:v>
      </x:c>
      <x:c r="F55" s="17" t="str">
        <x:v>SE|SE-021|Adaptability</x:v>
      </x:c>
      <x:c r="G55" s="9" t="n">
        <x:v>1</x:v>
      </x:c>
    </x:row>
    <x:row r="56">
      <x:c r="A56" s="9" t="str">
        <x:v>SE</x:v>
      </x:c>
      <x:c r="B56" s="9" t="str">
        <x:v>SE-021</x:v>
      </x:c>
      <x:c r="C56" s="9" t="str">
        <x:v>Readiness signal</x:v>
      </x:c>
      <x:c r="D56" s="17" t="str">
        <x:v>continuous learning</x:v>
      </x:c>
      <x:c r="E56" s="17" t="str">
        <x:v>Learning and initiative</x:v>
      </x:c>
      <x:c r="F56" s="17" t="str">
        <x:v>SE|SE-021|Learning and initiative</x:v>
      </x:c>
      <x:c r="G56" s="9" t="n">
        <x:v>1</x:v>
      </x:c>
    </x:row>
    <x:row r="57">
      <x:c r="A57" s="9" t="str">
        <x:v>SE</x:v>
      </x:c>
      <x:c r="B57" s="9" t="str">
        <x:v>SE-021</x:v>
      </x:c>
      <x:c r="C57" s="9" t="str">
        <x:v>Readiness signal</x:v>
      </x:c>
      <x:c r="D57" s="17" t="str">
        <x:v>working independently</x:v>
      </x:c>
      <x:c r="E57" s="17" t="str">
        <x:v>Self-management</x:v>
      </x:c>
      <x:c r="F57" s="17" t="str">
        <x:v>SE|SE-021|Self-management</x:v>
      </x:c>
      <x:c r="G57" s="9" t="n">
        <x:v>0</x:v>
      </x:c>
    </x:row>
    <x:row r="58">
      <x:c r="A58" s="9" t="str">
        <x:v>SE</x:v>
      </x:c>
      <x:c r="B58" s="9" t="str">
        <x:v>SE-021</x:v>
      </x:c>
      <x:c r="C58" s="9" t="str">
        <x:v>Readiness signal</x:v>
      </x:c>
      <x:c r="D58" s="17" t="str">
        <x:v>eager to learn</x:v>
      </x:c>
      <x:c r="E58" s="17" t="str">
        <x:v>Learning and initiative</x:v>
      </x:c>
      <x:c r="F58" s="17" t="str">
        <x:v>SE|SE-021|Learning and initiative</x:v>
      </x:c>
      <x:c r="G58" s="9" t="n">
        <x:v>0</x:v>
      </x:c>
    </x:row>
    <x:row r="59">
      <x:c r="A59" s="9" t="str">
        <x:v>SE</x:v>
      </x:c>
      <x:c r="B59" s="9" t="str">
        <x:v>SE-022</x:v>
      </x:c>
      <x:c r="C59" s="9" t="str">
        <x:v>Readiness signal</x:v>
      </x:c>
      <x:c r="D59" s="17" t="str">
        <x:v>willingness to learn</x:v>
      </x:c>
      <x:c r="E59" s="17" t="str">
        <x:v>Learning and initiative</x:v>
      </x:c>
      <x:c r="F59" s="17" t="str">
        <x:v>SE|SE-022|Learning and initiative</x:v>
      </x:c>
      <x:c r="G59" s="9" t="n">
        <x:v>1</x:v>
      </x:c>
    </x:row>
    <x:row r="60">
      <x:c r="A60" s="9" t="str">
        <x:v>SE</x:v>
      </x:c>
      <x:c r="B60" s="9" t="str">
        <x:v>SE-024</x:v>
      </x:c>
      <x:c r="C60" s="9" t="str">
        <x:v>Soft skill</x:v>
      </x:c>
      <x:c r="D60" s="17" t="str">
        <x:v>Collaborate</x:v>
      </x:c>
      <x:c r="E60" s="17" t="str">
        <x:v>Collaboration</x:v>
      </x:c>
      <x:c r="F60" s="17" t="str">
        <x:v>SE|SE-024|Collaboration</x:v>
      </x:c>
      <x:c r="G60" s="9" t="n">
        <x:v>1</x:v>
      </x:c>
    </x:row>
    <x:row r="61">
      <x:c r="A61" s="9" t="str">
        <x:v>SE</x:v>
      </x:c>
      <x:c r="B61" s="9" t="str">
        <x:v>SE-025</x:v>
      </x:c>
      <x:c r="C61" s="9" t="str">
        <x:v>Soft skill</x:v>
      </x:c>
      <x:c r="D61" s="17" t="str">
        <x:v>Collaborate</x:v>
      </x:c>
      <x:c r="E61" s="17" t="str">
        <x:v>Collaboration</x:v>
      </x:c>
      <x:c r="F61" s="17" t="str">
        <x:v>SE|SE-025|Collaboration</x:v>
      </x:c>
      <x:c r="G61" s="9" t="n">
        <x:v>1</x:v>
      </x:c>
    </x:row>
    <x:row r="62">
      <x:c r="A62" s="9" t="str">
        <x:v>SE</x:v>
      </x:c>
      <x:c r="B62" s="9" t="str">
        <x:v>SE-026</x:v>
      </x:c>
      <x:c r="C62" s="9" t="str">
        <x:v>Soft skill</x:v>
      </x:c>
      <x:c r="D62" s="17" t="str">
        <x:v>teamwork</x:v>
      </x:c>
      <x:c r="E62" s="17" t="str">
        <x:v>Collaboration</x:v>
      </x:c>
      <x:c r="F62" s="17" t="str">
        <x:v>SE|SE-026|Collaboration</x:v>
      </x:c>
      <x:c r="G62" s="9" t="n">
        <x:v>1</x:v>
      </x:c>
    </x:row>
    <x:row r="63">
      <x:c r="A63" s="9" t="str">
        <x:v>SE</x:v>
      </x:c>
      <x:c r="B63" s="9" t="str">
        <x:v>SE-026</x:v>
      </x:c>
      <x:c r="C63" s="9" t="str">
        <x:v>Soft skill</x:v>
      </x:c>
      <x:c r="D63" s="17" t="str">
        <x:v>interpersonal skills</x:v>
      </x:c>
      <x:c r="E63" s="17" t="str">
        <x:v>Interpersonal skills</x:v>
      </x:c>
      <x:c r="F63" s="17" t="str">
        <x:v>SE|SE-026|Interpersonal skills</x:v>
      </x:c>
      <x:c r="G63" s="9" t="n">
        <x:v>1</x:v>
      </x:c>
    </x:row>
    <x:row r="64">
      <x:c r="A64" s="9" t="str">
        <x:v>SE</x:v>
      </x:c>
      <x:c r="B64" s="9" t="str">
        <x:v>SE-026</x:v>
      </x:c>
      <x:c r="C64" s="9" t="str">
        <x:v>Soft skill</x:v>
      </x:c>
      <x:c r="D64" s="17" t="str">
        <x:v>problem-solving skills</x:v>
      </x:c>
      <x:c r="E64" s="17" t="str">
        <x:v>Problem-solving</x:v>
      </x:c>
      <x:c r="F64" s="17" t="str">
        <x:v>SE|SE-026|Problem-solving</x:v>
      </x:c>
      <x:c r="G64" s="9" t="n">
        <x:v>1</x:v>
      </x:c>
    </x:row>
    <x:row r="65">
      <x:c r="A65" s="9" t="str">
        <x:v>SE</x:v>
      </x:c>
      <x:c r="B65" s="9" t="str">
        <x:v>SE-026</x:v>
      </x:c>
      <x:c r="C65" s="9" t="str">
        <x:v>Soft skill</x:v>
      </x:c>
      <x:c r="D65" s="17" t="str">
        <x:v>attention to detail</x:v>
      </x:c>
      <x:c r="E65" s="17" t="str">
        <x:v>Attention to detail</x:v>
      </x:c>
      <x:c r="F65" s="17" t="str">
        <x:v>SE|SE-026|Attention to detail</x:v>
      </x:c>
      <x:c r="G65" s="9" t="n">
        <x:v>1</x:v>
      </x:c>
    </x:row>
    <x:row r="66">
      <x:c r="A66" s="9" t="str">
        <x:v>SE</x:v>
      </x:c>
      <x:c r="B66" s="9" t="str">
        <x:v>SE-026</x:v>
      </x:c>
      <x:c r="C66" s="9" t="str">
        <x:v>Readiness signal</x:v>
      </x:c>
      <x:c r="D66" s="17" t="str">
        <x:v>on-the-job training</x:v>
      </x:c>
      <x:c r="E66" s="17" t="str">
        <x:v>Other specific signal</x:v>
      </x:c>
      <x:c r="F66" s="17" t="str">
        <x:v>SE|SE-026|Other specific signal</x:v>
      </x:c>
      <x:c r="G66" s="9" t="n">
        <x:v>1</x:v>
      </x:c>
    </x:row>
    <x:row r="67">
      <x:c r="A67" s="9" t="str">
        <x:v>SE</x:v>
      </x:c>
      <x:c r="B67" s="9" t="str">
        <x:v>SE-027</x:v>
      </x:c>
      <x:c r="C67" s="9" t="str">
        <x:v>Soft skill</x:v>
      </x:c>
      <x:c r="D67" s="17" t="str">
        <x:v>team player</x:v>
      </x:c>
      <x:c r="E67" s="17" t="str">
        <x:v>Collaboration</x:v>
      </x:c>
      <x:c r="F67" s="17" t="str">
        <x:v>SE|SE-027|Collaboration</x:v>
      </x:c>
      <x:c r="G67" s="9" t="n">
        <x:v>1</x:v>
      </x:c>
    </x:row>
    <x:row r="68">
      <x:c r="A68" s="9" t="str">
        <x:v>SE</x:v>
      </x:c>
      <x:c r="B68" s="9" t="str">
        <x:v>SE-029</x:v>
      </x:c>
      <x:c r="C68" s="9" t="str">
        <x:v>Soft skill</x:v>
      </x:c>
      <x:c r="D68" s="17" t="str">
        <x:v>collaboration</x:v>
      </x:c>
      <x:c r="E68" s="17" t="str">
        <x:v>Collaboration</x:v>
      </x:c>
      <x:c r="F68" s="17" t="str">
        <x:v>SE|SE-029|Collaboration</x:v>
      </x:c>
      <x:c r="G68" s="9" t="n">
        <x:v>1</x:v>
      </x:c>
    </x:row>
    <x:row r="69">
      <x:c r="A69" s="9" t="str">
        <x:v>SE</x:v>
      </x:c>
      <x:c r="B69" s="9" t="str">
        <x:v>SE-029</x:v>
      </x:c>
      <x:c r="C69" s="9" t="str">
        <x:v>Soft skill</x:v>
      </x:c>
      <x:c r="D69" s="17" t="str">
        <x:v>Teamwork</x:v>
      </x:c>
      <x:c r="E69" s="17" t="str">
        <x:v>Collaboration</x:v>
      </x:c>
      <x:c r="F69" s="17" t="str">
        <x:v>SE|SE-029|Collaboration</x:v>
      </x:c>
      <x:c r="G69" s="9" t="n">
        <x:v>0</x:v>
      </x:c>
    </x:row>
    <x:row r="70">
      <x:c r="A70" s="9" t="str">
        <x:v>SE</x:v>
      </x:c>
      <x:c r="B70" s="9" t="str">
        <x:v>SE-030</x:v>
      </x:c>
      <x:c r="C70" s="9" t="str">
        <x:v>Soft skill</x:v>
      </x:c>
      <x:c r="D70" s="17" t="str">
        <x:v>problem solving</x:v>
      </x:c>
      <x:c r="E70" s="17" t="str">
        <x:v>Problem-solving</x:v>
      </x:c>
      <x:c r="F70" s="17" t="str">
        <x:v>SE|SE-030|Problem-solving</x:v>
      </x:c>
      <x:c r="G70" s="9" t="n">
        <x:v>1</x:v>
      </x:c>
    </x:row>
    <x:row r="71">
      <x:c r="A71" s="9" t="str">
        <x:v>DA</x:v>
      </x:c>
      <x:c r="B71" s="9" t="str">
        <x:v>DA-002</x:v>
      </x:c>
      <x:c r="C71" s="9" t="str">
        <x:v>Soft skill</x:v>
      </x:c>
      <x:c r="D71" s="17" t="str">
        <x:v>self-motivated</x:v>
      </x:c>
      <x:c r="E71" s="17" t="str">
        <x:v>Self-management</x:v>
      </x:c>
      <x:c r="F71" s="17" t="str">
        <x:v>DA|DA-002|Self-management</x:v>
      </x:c>
      <x:c r="G71" s="9" t="n">
        <x:v>1</x:v>
      </x:c>
    </x:row>
    <x:row r="72">
      <x:c r="A72" s="9" t="str">
        <x:v>DA</x:v>
      </x:c>
      <x:c r="B72" s="9" t="str">
        <x:v>DA-002</x:v>
      </x:c>
      <x:c r="C72" s="9" t="str">
        <x:v>Soft skill</x:v>
      </x:c>
      <x:c r="D72" s="17" t="str">
        <x:v>Problem Solving</x:v>
      </x:c>
      <x:c r="E72" s="17" t="str">
        <x:v>Problem-solving</x:v>
      </x:c>
      <x:c r="F72" s="17" t="str">
        <x:v>DA|DA-002|Problem-solving</x:v>
      </x:c>
      <x:c r="G72" s="9" t="n">
        <x:v>1</x:v>
      </x:c>
    </x:row>
    <x:row r="73">
      <x:c r="A73" s="9" t="str">
        <x:v>DA</x:v>
      </x:c>
      <x:c r="B73" s="9" t="str">
        <x:v>DA-002</x:v>
      </x:c>
      <x:c r="C73" s="9" t="str">
        <x:v>Soft skill</x:v>
      </x:c>
      <x:c r="D73" s="17" t="str">
        <x:v>Collaboration</x:v>
      </x:c>
      <x:c r="E73" s="17" t="str">
        <x:v>Collaboration</x:v>
      </x:c>
      <x:c r="F73" s="17" t="str">
        <x:v>DA|DA-002|Collaboration</x:v>
      </x:c>
      <x:c r="G73" s="9" t="n">
        <x:v>1</x:v>
      </x:c>
    </x:row>
    <x:row r="74">
      <x:c r="A74" s="9" t="str">
        <x:v>DA</x:v>
      </x:c>
      <x:c r="B74" s="9" t="str">
        <x:v>DA-002</x:v>
      </x:c>
      <x:c r="C74" s="9" t="str">
        <x:v>Soft skill</x:v>
      </x:c>
      <x:c r="D74" s="17" t="str">
        <x:v>adaptable</x:v>
      </x:c>
      <x:c r="E74" s="17" t="str">
        <x:v>Adaptability</x:v>
      </x:c>
      <x:c r="F74" s="17" t="str">
        <x:v>DA|DA-002|Adaptability</x:v>
      </x:c>
      <x:c r="G74" s="9" t="n">
        <x:v>1</x:v>
      </x:c>
    </x:row>
    <x:row r="75">
      <x:c r="A75" s="9" t="str">
        <x:v>DA</x:v>
      </x:c>
      <x:c r="B75" s="9" t="str">
        <x:v>DA-002</x:v>
      </x:c>
      <x:c r="C75" s="9" t="str">
        <x:v>Soft skill</x:v>
      </x:c>
      <x:c r="D75" s="17" t="str">
        <x:v>attention to detail</x:v>
      </x:c>
      <x:c r="E75" s="17" t="str">
        <x:v>Attention to detail</x:v>
      </x:c>
      <x:c r="F75" s="17" t="str">
        <x:v>DA|DA-002|Attention to detail</x:v>
      </x:c>
      <x:c r="G75" s="9" t="n">
        <x:v>1</x:v>
      </x:c>
    </x:row>
    <x:row r="76">
      <x:c r="A76" s="9" t="str">
        <x:v>DA</x:v>
      </x:c>
      <x:c r="B76" s="9" t="str">
        <x:v>DA-002</x:v>
      </x:c>
      <x:c r="C76" s="9" t="str">
        <x:v>Soft skill</x:v>
      </x:c>
      <x:c r="D76" s="17" t="str">
        <x:v>communication skills</x:v>
      </x:c>
      <x:c r="E76" s="17" t="str">
        <x:v>Communication</x:v>
      </x:c>
      <x:c r="F76" s="17" t="str">
        <x:v>DA|DA-002|Communication</x:v>
      </x:c>
      <x:c r="G76" s="9" t="n">
        <x:v>1</x:v>
      </x:c>
    </x:row>
    <x:row r="77">
      <x:c r="A77" s="9" t="str">
        <x:v>DA</x:v>
      </x:c>
      <x:c r="B77" s="9" t="str">
        <x:v>DA-002</x:v>
      </x:c>
      <x:c r="C77" s="9" t="str">
        <x:v>Readiness signal</x:v>
      </x:c>
      <x:c r="D77" s="17" t="str">
        <x:v>eager to learn</x:v>
      </x:c>
      <x:c r="E77" s="17" t="str">
        <x:v>Learning and initiative</x:v>
      </x:c>
      <x:c r="F77" s="17" t="str">
        <x:v>DA|DA-002|Learning and initiative</x:v>
      </x:c>
      <x:c r="G77" s="9" t="n">
        <x:v>1</x:v>
      </x:c>
    </x:row>
    <x:row r="78">
      <x:c r="A78" s="9" t="str">
        <x:v>DA</x:v>
      </x:c>
      <x:c r="B78" s="9" t="str">
        <x:v>DA-004</x:v>
      </x:c>
      <x:c r="C78" s="9" t="str">
        <x:v>Readiness signal</x:v>
      </x:c>
      <x:c r="D78" s="17" t="str">
        <x:v>working independently</x:v>
      </x:c>
      <x:c r="E78" s="17" t="str">
        <x:v>Self-management</x:v>
      </x:c>
      <x:c r="F78" s="17" t="str">
        <x:v>DA|DA-004|Self-management</x:v>
      </x:c>
      <x:c r="G78" s="9" t="n">
        <x:v>1</x:v>
      </x:c>
    </x:row>
    <x:row r="79">
      <x:c r="A79" s="9" t="str">
        <x:v>DA</x:v>
      </x:c>
      <x:c r="B79" s="9" t="str">
        <x:v>DA-007</x:v>
      </x:c>
      <x:c r="C79" s="9" t="str">
        <x:v>Soft skill</x:v>
      </x:c>
      <x:c r="D79" s="17" t="str">
        <x:v>Adaptability</x:v>
      </x:c>
      <x:c r="E79" s="17" t="str">
        <x:v>Adaptability</x:v>
      </x:c>
      <x:c r="F79" s="17" t="str">
        <x:v>DA|DA-007|Adaptability</x:v>
      </x:c>
      <x:c r="G79" s="9" t="n">
        <x:v>1</x:v>
      </x:c>
    </x:row>
    <x:row r="80">
      <x:c r="A80" s="9" t="str">
        <x:v>DA</x:v>
      </x:c>
      <x:c r="B80" s="9" t="str">
        <x:v>DA-008</x:v>
      </x:c>
      <x:c r="C80" s="9" t="str">
        <x:v>Soft skill</x:v>
      </x:c>
      <x:c r="D80" s="17" t="str">
        <x:v>Problem-Solving</x:v>
      </x:c>
      <x:c r="E80" s="17" t="str">
        <x:v>Problem-solving</x:v>
      </x:c>
      <x:c r="F80" s="17" t="str">
        <x:v>DA|DA-008|Problem-solving</x:v>
      </x:c>
      <x:c r="G80" s="9" t="n">
        <x:v>1</x:v>
      </x:c>
    </x:row>
    <x:row r="81">
      <x:c r="A81" s="9" t="str">
        <x:v>DA</x:v>
      </x:c>
      <x:c r="B81" s="9" t="str">
        <x:v>DA-008</x:v>
      </x:c>
      <x:c r="C81" s="9" t="str">
        <x:v>Soft skill</x:v>
      </x:c>
      <x:c r="D81" s="17" t="str">
        <x:v>Attention to Detail</x:v>
      </x:c>
      <x:c r="E81" s="17" t="str">
        <x:v>Attention to detail</x:v>
      </x:c>
      <x:c r="F81" s="17" t="str">
        <x:v>DA|DA-008|Attention to detail</x:v>
      </x:c>
      <x:c r="G81" s="9" t="n">
        <x:v>1</x:v>
      </x:c>
    </x:row>
    <x:row r="82">
      <x:c r="A82" s="9" t="str">
        <x:v>DA</x:v>
      </x:c>
      <x:c r="B82" s="9" t="str">
        <x:v>DA-008</x:v>
      </x:c>
      <x:c r="C82" s="9" t="str">
        <x:v>Soft skill</x:v>
      </x:c>
      <x:c r="D82" s="17" t="str">
        <x:v>written and verbal communication skills</x:v>
      </x:c>
      <x:c r="E82" s="17" t="str">
        <x:v>Communication</x:v>
      </x:c>
      <x:c r="F82" s="17" t="str">
        <x:v>DA|DA-008|Communication</x:v>
      </x:c>
      <x:c r="G82" s="9" t="n">
        <x:v>1</x:v>
      </x:c>
    </x:row>
    <x:row r="83">
      <x:c r="A83" s="9" t="str">
        <x:v>DA</x:v>
      </x:c>
      <x:c r="B83" s="9" t="str">
        <x:v>DA-008</x:v>
      </x:c>
      <x:c r="C83" s="9" t="str">
        <x:v>Soft skill</x:v>
      </x:c>
      <x:c r="D83" s="17" t="str">
        <x:v>communication skills</x:v>
      </x:c>
      <x:c r="E83" s="17" t="str">
        <x:v>Communication</x:v>
      </x:c>
      <x:c r="F83" s="17" t="str">
        <x:v>DA|DA-008|Communication</x:v>
      </x:c>
      <x:c r="G83" s="9" t="n">
        <x:v>0</x:v>
      </x:c>
    </x:row>
    <x:row r="84">
      <x:c r="A84" s="9" t="str">
        <x:v>DA</x:v>
      </x:c>
      <x:c r="B84" s="9" t="str">
        <x:v>DA-008</x:v>
      </x:c>
      <x:c r="C84" s="9" t="str">
        <x:v>Soft skill</x:v>
      </x:c>
      <x:c r="D84" s="17" t="str">
        <x:v>Collaboration</x:v>
      </x:c>
      <x:c r="E84" s="17" t="str">
        <x:v>Collaboration</x:v>
      </x:c>
      <x:c r="F84" s="17" t="str">
        <x:v>DA|DA-008|Collaboration</x:v>
      </x:c>
      <x:c r="G84" s="9" t="n">
        <x:v>1</x:v>
      </x:c>
    </x:row>
    <x:row r="85">
      <x:c r="A85" s="9" t="str">
        <x:v>DA</x:v>
      </x:c>
      <x:c r="B85" s="9" t="str">
        <x:v>DA-008</x:v>
      </x:c>
      <x:c r="C85" s="9" t="str">
        <x:v>Soft skill</x:v>
      </x:c>
      <x:c r="D85" s="17" t="str">
        <x:v>Time Management</x:v>
      </x:c>
      <x:c r="E85" s="17" t="str">
        <x:v>Self-management</x:v>
      </x:c>
      <x:c r="F85" s="17" t="str">
        <x:v>DA|DA-008|Self-management</x:v>
      </x:c>
      <x:c r="G85" s="9" t="n">
        <x:v>1</x:v>
      </x:c>
    </x:row>
    <x:row r="86">
      <x:c r="A86" s="9" t="str">
        <x:v>DA</x:v>
      </x:c>
      <x:c r="B86" s="9" t="str">
        <x:v>DA-008</x:v>
      </x:c>
      <x:c r="C86" s="9" t="str">
        <x:v>Readiness signal</x:v>
      </x:c>
      <x:c r="D86" s="17" t="str">
        <x:v>present findings</x:v>
      </x:c>
      <x:c r="E86" s="17" t="str">
        <x:v>Communication</x:v>
      </x:c>
      <x:c r="F86" s="17" t="str">
        <x:v>DA|DA-008|Communication</x:v>
      </x:c>
      <x:c r="G86" s="9" t="n">
        <x:v>0</x:v>
      </x:c>
    </x:row>
    <x:row r="87">
      <x:c r="A87" s="9" t="str">
        <x:v>DA</x:v>
      </x:c>
      <x:c r="B87" s="9" t="str">
        <x:v>DA-008</x:v>
      </x:c>
      <x:c r="C87" s="9" t="str">
        <x:v>Readiness signal</x:v>
      </x:c>
      <x:c r="D87" s="17" t="str">
        <x:v>present findings</x:v>
      </x:c>
      <x:c r="E87" s="17" t="str">
        <x:v>Reporting and documentation</x:v>
      </x:c>
      <x:c r="F87" s="17" t="str">
        <x:v>DA|DA-008|Reporting and documentation</x:v>
      </x:c>
      <x:c r="G87" s="9" t="n">
        <x:v>1</x:v>
      </x:c>
    </x:row>
    <x:row r="88">
      <x:c r="A88" s="9" t="str">
        <x:v>DA</x:v>
      </x:c>
      <x:c r="B88" s="9" t="str">
        <x:v>DA-010</x:v>
      </x:c>
      <x:c r="C88" s="9" t="str">
        <x:v>Soft skill</x:v>
      </x:c>
      <x:c r="D88" s="17" t="str">
        <x:v>collaboration</x:v>
      </x:c>
      <x:c r="E88" s="17" t="str">
        <x:v>Collaboration</x:v>
      </x:c>
      <x:c r="F88" s="17" t="str">
        <x:v>DA|DA-010|Collaboration</x:v>
      </x:c>
      <x:c r="G88" s="9" t="n">
        <x:v>1</x:v>
      </x:c>
    </x:row>
    <x:row r="89">
      <x:c r="A89" s="9" t="str">
        <x:v>DA</x:v>
      </x:c>
      <x:c r="B89" s="9" t="str">
        <x:v>DA-011</x:v>
      </x:c>
      <x:c r="C89" s="9" t="str">
        <x:v>Soft skill</x:v>
      </x:c>
      <x:c r="D89" s="17" t="str">
        <x:v>collaboration</x:v>
      </x:c>
      <x:c r="E89" s="17" t="str">
        <x:v>Collaboration</x:v>
      </x:c>
      <x:c r="F89" s="17" t="str">
        <x:v>DA|DA-011|Collaboration</x:v>
      </x:c>
      <x:c r="G89" s="9" t="n">
        <x:v>1</x:v>
      </x:c>
    </x:row>
    <x:row r="90">
      <x:c r="A90" s="9" t="str">
        <x:v>DA</x:v>
      </x:c>
      <x:c r="B90" s="9" t="str">
        <x:v>DA-012</x:v>
      </x:c>
      <x:c r="C90" s="9" t="str">
        <x:v>Soft skill</x:v>
      </x:c>
      <x:c r="D90" s="17" t="str">
        <x:v>problem-solving skills</x:v>
      </x:c>
      <x:c r="E90" s="17" t="str">
        <x:v>Problem-solving</x:v>
      </x:c>
      <x:c r="F90" s="17" t="str">
        <x:v>DA|DA-012|Problem-solving</x:v>
      </x:c>
      <x:c r="G90" s="9" t="n">
        <x:v>1</x:v>
      </x:c>
    </x:row>
    <x:row r="91">
      <x:c r="A91" s="9" t="str">
        <x:v>DA</x:v>
      </x:c>
      <x:c r="B91" s="9" t="str">
        <x:v>DA-012</x:v>
      </x:c>
      <x:c r="C91" s="9" t="str">
        <x:v>Soft skill</x:v>
      </x:c>
      <x:c r="D91" s="17" t="str">
        <x:v>attention to detail</x:v>
      </x:c>
      <x:c r="E91" s="17" t="str">
        <x:v>Attention to detail</x:v>
      </x:c>
      <x:c r="F91" s="17" t="str">
        <x:v>DA|DA-012|Attention to detail</x:v>
      </x:c>
      <x:c r="G91" s="9" t="n">
        <x:v>1</x:v>
      </x:c>
    </x:row>
    <x:row r="92">
      <x:c r="A92" s="9" t="str">
        <x:v>DA</x:v>
      </x:c>
      <x:c r="B92" s="9" t="str">
        <x:v>DA-013</x:v>
      </x:c>
      <x:c r="C92" s="9" t="str">
        <x:v>Soft skill</x:v>
      </x:c>
      <x:c r="D92" s="17" t="str">
        <x:v>analytical thinking</x:v>
      </x:c>
      <x:c r="E92" s="17" t="str">
        <x:v>Analytical thinking</x:v>
      </x:c>
      <x:c r="F92" s="17" t="str">
        <x:v>DA|DA-013|Analytical thinking</x:v>
      </x:c>
      <x:c r="G92" s="9" t="n">
        <x:v>1</x:v>
      </x:c>
    </x:row>
    <x:row r="93">
      <x:c r="A93" s="9" t="str">
        <x:v>DA</x:v>
      </x:c>
      <x:c r="B93" s="9" t="str">
        <x:v>DA-013</x:v>
      </x:c>
      <x:c r="C93" s="9" t="str">
        <x:v>Soft skill</x:v>
      </x:c>
      <x:c r="D93" s="17" t="str">
        <x:v>attention to detail</x:v>
      </x:c>
      <x:c r="E93" s="17" t="str">
        <x:v>Attention to detail</x:v>
      </x:c>
      <x:c r="F93" s="17" t="str">
        <x:v>DA|DA-013|Attention to detail</x:v>
      </x:c>
      <x:c r="G93" s="9" t="n">
        <x:v>1</x:v>
      </x:c>
    </x:row>
    <x:row r="94">
      <x:c r="A94" s="9" t="str">
        <x:v>DA</x:v>
      </x:c>
      <x:c r="B94" s="9" t="str">
        <x:v>DA-013</x:v>
      </x:c>
      <x:c r="C94" s="9" t="str">
        <x:v>Soft skill</x:v>
      </x:c>
      <x:c r="D94" s="17" t="str">
        <x:v>time management</x:v>
      </x:c>
      <x:c r="E94" s="17" t="str">
        <x:v>Self-management</x:v>
      </x:c>
      <x:c r="F94" s="17" t="str">
        <x:v>DA|DA-013|Self-management</x:v>
      </x:c>
      <x:c r="G94" s="9" t="n">
        <x:v>1</x:v>
      </x:c>
    </x:row>
    <x:row r="95">
      <x:c r="A95" s="9" t="str">
        <x:v>DA</x:v>
      </x:c>
      <x:c r="B95" s="9" t="str">
        <x:v>DA-014</x:v>
      </x:c>
      <x:c r="C95" s="9" t="str">
        <x:v>Soft skill</x:v>
      </x:c>
      <x:c r="D95" s="17" t="str">
        <x:v>Collaborate</x:v>
      </x:c>
      <x:c r="E95" s="17" t="str">
        <x:v>Collaboration</x:v>
      </x:c>
      <x:c r="F95" s="17" t="str">
        <x:v>DA|DA-014|Collaboration</x:v>
      </x:c>
      <x:c r="G95" s="9" t="n">
        <x:v>1</x:v>
      </x:c>
    </x:row>
    <x:row r="96">
      <x:c r="A96" s="9" t="str">
        <x:v>DA</x:v>
      </x:c>
      <x:c r="B96" s="9" t="str">
        <x:v>DA-014</x:v>
      </x:c>
      <x:c r="C96" s="9" t="str">
        <x:v>Soft skill</x:v>
      </x:c>
      <x:c r="D96" s="17" t="str">
        <x:v>problem-solving</x:v>
      </x:c>
      <x:c r="E96" s="17" t="str">
        <x:v>Problem-solving</x:v>
      </x:c>
      <x:c r="F96" s="17" t="str">
        <x:v>DA|DA-014|Problem-solving</x:v>
      </x:c>
      <x:c r="G96" s="9" t="n">
        <x:v>1</x:v>
      </x:c>
    </x:row>
    <x:row r="97">
      <x:c r="A97" s="9" t="str">
        <x:v>DA</x:v>
      </x:c>
      <x:c r="B97" s="9" t="str">
        <x:v>DA-014</x:v>
      </x:c>
      <x:c r="C97" s="9" t="str">
        <x:v>Soft skill</x:v>
      </x:c>
      <x:c r="D97" s="17" t="str">
        <x:v>communication skills</x:v>
      </x:c>
      <x:c r="E97" s="17" t="str">
        <x:v>Communication</x:v>
      </x:c>
      <x:c r="F97" s="17" t="str">
        <x:v>DA|DA-014|Communication</x:v>
      </x:c>
      <x:c r="G97" s="9" t="n">
        <x:v>1</x:v>
      </x:c>
    </x:row>
    <x:row r="98">
      <x:c r="A98" s="9" t="str">
        <x:v>DA</x:v>
      </x:c>
      <x:c r="B98" s="9" t="str">
        <x:v>DA-014</x:v>
      </x:c>
      <x:c r="C98" s="9" t="str">
        <x:v>Readiness signal</x:v>
      </x:c>
      <x:c r="D98" s="17" t="str">
        <x:v>present findings</x:v>
      </x:c>
      <x:c r="E98" s="17" t="str">
        <x:v>Communication</x:v>
      </x:c>
      <x:c r="F98" s="17" t="str">
        <x:v>DA|DA-014|Communication</x:v>
      </x:c>
      <x:c r="G98" s="9" t="n">
        <x:v>0</x:v>
      </x:c>
    </x:row>
    <x:row r="99">
      <x:c r="A99" s="9" t="str">
        <x:v>DA</x:v>
      </x:c>
      <x:c r="B99" s="9" t="str">
        <x:v>DA-014</x:v>
      </x:c>
      <x:c r="C99" s="9" t="str">
        <x:v>Readiness signal</x:v>
      </x:c>
      <x:c r="D99" s="17" t="str">
        <x:v>present findings</x:v>
      </x:c>
      <x:c r="E99" s="17" t="str">
        <x:v>Reporting and documentation</x:v>
      </x:c>
      <x:c r="F99" s="17" t="str">
        <x:v>DA|DA-014|Reporting and documentation</x:v>
      </x:c>
      <x:c r="G99" s="9" t="n">
        <x:v>1</x:v>
      </x:c>
    </x:row>
    <x:row r="100">
      <x:c r="A100" s="9" t="str">
        <x:v>DA</x:v>
      </x:c>
      <x:c r="B100" s="9" t="str">
        <x:v>DA-014</x:v>
      </x:c>
      <x:c r="C100" s="9" t="str">
        <x:v>Readiness signal</x:v>
      </x:c>
      <x:c r="D100" s="17" t="str">
        <x:v>present findings to stakeholders</x:v>
      </x:c>
      <x:c r="E100" s="17" t="str">
        <x:v>Communication</x:v>
      </x:c>
      <x:c r="F100" s="17" t="str">
        <x:v>DA|DA-014|Communication</x:v>
      </x:c>
      <x:c r="G100" s="9" t="n">
        <x:v>0</x:v>
      </x:c>
    </x:row>
    <x:row r="101">
      <x:c r="A101" s="9" t="str">
        <x:v>DA</x:v>
      </x:c>
      <x:c r="B101" s="9" t="str">
        <x:v>DA-014</x:v>
      </x:c>
      <x:c r="C101" s="9" t="str">
        <x:v>Readiness signal</x:v>
      </x:c>
      <x:c r="D101" s="17" t="str">
        <x:v>present findings to stakeholders</x:v>
      </x:c>
      <x:c r="E101" s="17" t="str">
        <x:v>Client or stakeholder interaction</x:v>
      </x:c>
      <x:c r="F101" s="17" t="str">
        <x:v>DA|DA-014|Client or stakeholder interaction</x:v>
      </x:c>
      <x:c r="G101" s="9" t="n">
        <x:v>1</x:v>
      </x:c>
    </x:row>
    <x:row r="102">
      <x:c r="A102" s="9" t="str">
        <x:v>DA</x:v>
      </x:c>
      <x:c r="B102" s="9" t="str">
        <x:v>DA-014</x:v>
      </x:c>
      <x:c r="C102" s="9" t="str">
        <x:v>Readiness signal</x:v>
      </x:c>
      <x:c r="D102" s="17" t="str">
        <x:v>present findings to stakeholders</x:v>
      </x:c>
      <x:c r="E102" s="17" t="str">
        <x:v>Reporting and documentation</x:v>
      </x:c>
      <x:c r="F102" s="17" t="str">
        <x:v>DA|DA-014|Reporting and documentation</x:v>
      </x:c>
      <x:c r="G102" s="9" t="n">
        <x:v>0</x:v>
      </x:c>
    </x:row>
    <x:row r="103">
      <x:c r="A103" s="9" t="str">
        <x:v>DA</x:v>
      </x:c>
      <x:c r="B103" s="9" t="str">
        <x:v>DA-018</x:v>
      </x:c>
      <x:c r="C103" s="9" t="str">
        <x:v>Soft skill</x:v>
      </x:c>
      <x:c r="D103" s="17" t="str">
        <x:v>collaboration</x:v>
      </x:c>
      <x:c r="E103" s="17" t="str">
        <x:v>Collaboration</x:v>
      </x:c>
      <x:c r="F103" s="17" t="str">
        <x:v>DA|DA-018|Collaboration</x:v>
      </x:c>
      <x:c r="G103" s="9" t="n">
        <x:v>1</x:v>
      </x:c>
    </x:row>
    <x:row r="104">
      <x:c r="A104" s="9" t="str">
        <x:v>DA</x:v>
      </x:c>
      <x:c r="B104" s="9" t="str">
        <x:v>DA-018</x:v>
      </x:c>
      <x:c r="C104" s="9" t="str">
        <x:v>Soft skill</x:v>
      </x:c>
      <x:c r="D104" s="17" t="str">
        <x:v>interpersonal skills</x:v>
      </x:c>
      <x:c r="E104" s="17" t="str">
        <x:v>Interpersonal skills</x:v>
      </x:c>
      <x:c r="F104" s="17" t="str">
        <x:v>DA|DA-018|Interpersonal skills</x:v>
      </x:c>
      <x:c r="G104" s="9" t="n">
        <x:v>1</x:v>
      </x:c>
    </x:row>
    <x:row r="105">
      <x:c r="A105" s="9" t="str">
        <x:v>DA</x:v>
      </x:c>
      <x:c r="B105" s="9" t="str">
        <x:v>DA-018</x:v>
      </x:c>
      <x:c r="C105" s="9" t="str">
        <x:v>Soft skill</x:v>
      </x:c>
      <x:c r="D105" s="17" t="str">
        <x:v>Problem solving</x:v>
      </x:c>
      <x:c r="E105" s="17" t="str">
        <x:v>Problem-solving</x:v>
      </x:c>
      <x:c r="F105" s="17" t="str">
        <x:v>DA|DA-018|Problem-solving</x:v>
      </x:c>
      <x:c r="G105" s="9" t="n">
        <x:v>1</x:v>
      </x:c>
    </x:row>
    <x:row r="106">
      <x:c r="A106" s="9" t="str">
        <x:v>DA</x:v>
      </x:c>
      <x:c r="B106" s="9" t="str">
        <x:v>DA-018</x:v>
      </x:c>
      <x:c r="C106" s="9" t="str">
        <x:v>Soft skill</x:v>
      </x:c>
      <x:c r="D106" s="17" t="str">
        <x:v>Attention to detail</x:v>
      </x:c>
      <x:c r="E106" s="17" t="str">
        <x:v>Attention to detail</x:v>
      </x:c>
      <x:c r="F106" s="17" t="str">
        <x:v>DA|DA-018|Attention to detail</x:v>
      </x:c>
      <x:c r="G106" s="9" t="n">
        <x:v>1</x:v>
      </x:c>
    </x:row>
    <x:row r="107">
      <x:c r="A107" s="9" t="str">
        <x:v>DA</x:v>
      </x:c>
      <x:c r="B107" s="9" t="str">
        <x:v>DA-019</x:v>
      </x:c>
      <x:c r="C107" s="9" t="str">
        <x:v>Soft skill</x:v>
      </x:c>
      <x:c r="D107" s="17" t="str">
        <x:v>problem-solving skills</x:v>
      </x:c>
      <x:c r="E107" s="17" t="str">
        <x:v>Problem-solving</x:v>
      </x:c>
      <x:c r="F107" s="17" t="str">
        <x:v>DA|DA-019|Problem-solving</x:v>
      </x:c>
      <x:c r="G107" s="9" t="n">
        <x:v>1</x:v>
      </x:c>
    </x:row>
    <x:row r="108">
      <x:c r="A108" s="9" t="str">
        <x:v>DA</x:v>
      </x:c>
      <x:c r="B108" s="9" t="str">
        <x:v>DA-019</x:v>
      </x:c>
      <x:c r="C108" s="9" t="str">
        <x:v>Soft skill</x:v>
      </x:c>
      <x:c r="D108" s="17" t="str">
        <x:v>attention to detail</x:v>
      </x:c>
      <x:c r="E108" s="17" t="str">
        <x:v>Attention to detail</x:v>
      </x:c>
      <x:c r="F108" s="17" t="str">
        <x:v>DA|DA-019|Attention to detail</x:v>
      </x:c>
      <x:c r="G108" s="9" t="n">
        <x:v>1</x:v>
      </x:c>
    </x:row>
    <x:row r="109">
      <x:c r="A109" s="9" t="str">
        <x:v>DA</x:v>
      </x:c>
      <x:c r="B109" s="9" t="str">
        <x:v>DA-019</x:v>
      </x:c>
      <x:c r="C109" s="9" t="str">
        <x:v>Readiness signal</x:v>
      </x:c>
      <x:c r="D109" s="17" t="str">
        <x:v>Graduate Programme</x:v>
      </x:c>
      <x:c r="E109" s="17" t="str">
        <x:v>Professional exposure</x:v>
      </x:c>
      <x:c r="F109" s="17" t="str">
        <x:v>DA|DA-019|Professional exposure</x:v>
      </x:c>
      <x:c r="G109" s="9" t="n">
        <x:v>1</x:v>
      </x:c>
    </x:row>
    <x:row r="110">
      <x:c r="A110" s="9" t="str">
        <x:v>DA</x:v>
      </x:c>
      <x:c r="B110" s="9" t="str">
        <x:v>DA-020</x:v>
      </x:c>
      <x:c r="C110" s="9" t="str">
        <x:v>Soft skill</x:v>
      </x:c>
      <x:c r="D110" s="17" t="str">
        <x:v>collaborative</x:v>
      </x:c>
      <x:c r="E110" s="17" t="str">
        <x:v>Collaboration</x:v>
      </x:c>
      <x:c r="F110" s="17" t="str">
        <x:v>DA|DA-020|Collaboration</x:v>
      </x:c>
      <x:c r="G110" s="9" t="n">
        <x:v>1</x:v>
      </x:c>
    </x:row>
    <x:row r="111">
      <x:c r="A111" s="9" t="str">
        <x:v>DA</x:v>
      </x:c>
      <x:c r="B111" s="9" t="str">
        <x:v>DA-020</x:v>
      </x:c>
      <x:c r="C111" s="9" t="str">
        <x:v>Soft skill</x:v>
      </x:c>
      <x:c r="D111" s="17" t="str">
        <x:v>problem-solving</x:v>
      </x:c>
      <x:c r="E111" s="17" t="str">
        <x:v>Problem-solving</x:v>
      </x:c>
      <x:c r="F111" s="17" t="str">
        <x:v>DA|DA-020|Problem-solving</x:v>
      </x:c>
      <x:c r="G111" s="9" t="n">
        <x:v>1</x:v>
      </x:c>
    </x:row>
    <x:row r="112">
      <x:c r="A112" s="9" t="str">
        <x:v>DA</x:v>
      </x:c>
      <x:c r="B112" s="9" t="str">
        <x:v>DA-020</x:v>
      </x:c>
      <x:c r="C112" s="9" t="str">
        <x:v>Soft skill</x:v>
      </x:c>
      <x:c r="D112" s="17" t="str">
        <x:v>communication skills</x:v>
      </x:c>
      <x:c r="E112" s="17" t="str">
        <x:v>Communication</x:v>
      </x:c>
      <x:c r="F112" s="17" t="str">
        <x:v>DA|DA-020|Communication</x:v>
      </x:c>
      <x:c r="G112" s="9" t="n">
        <x:v>1</x:v>
      </x:c>
    </x:row>
    <x:row r="113">
      <x:c r="A113" s="9" t="str">
        <x:v>DA</x:v>
      </x:c>
      <x:c r="B113" s="9" t="str">
        <x:v>DA-023</x:v>
      </x:c>
      <x:c r="C113" s="9" t="str">
        <x:v>Soft skill</x:v>
      </x:c>
      <x:c r="D113" s="17" t="str">
        <x:v>analytical thinking</x:v>
      </x:c>
      <x:c r="E113" s="17" t="str">
        <x:v>Analytical thinking</x:v>
      </x:c>
      <x:c r="F113" s="17" t="str">
        <x:v>DA|DA-023|Analytical thinking</x:v>
      </x:c>
      <x:c r="G113" s="9" t="n">
        <x:v>1</x:v>
      </x:c>
    </x:row>
    <x:row r="114">
      <x:c r="A114" s="9" t="str">
        <x:v>DA</x:v>
      </x:c>
      <x:c r="B114" s="9" t="str">
        <x:v>DA-023</x:v>
      </x:c>
      <x:c r="C114" s="9" t="str">
        <x:v>Soft skill</x:v>
      </x:c>
      <x:c r="D114" s="17" t="str">
        <x:v>problem solving skills</x:v>
      </x:c>
      <x:c r="E114" s="17" t="str">
        <x:v>Problem-solving</x:v>
      </x:c>
      <x:c r="F114" s="17" t="str">
        <x:v>DA|DA-023|Problem-solving</x:v>
      </x:c>
      <x:c r="G114" s="9" t="n">
        <x:v>1</x:v>
      </x:c>
    </x:row>
    <x:row r="115">
      <x:c r="A115" s="9" t="str">
        <x:v>DA</x:v>
      </x:c>
      <x:c r="B115" s="9" t="str">
        <x:v>DA-023</x:v>
      </x:c>
      <x:c r="C115" s="9" t="str">
        <x:v>Soft skill</x:v>
      </x:c>
      <x:c r="D115" s="17" t="str">
        <x:v>attention to detail</x:v>
      </x:c>
      <x:c r="E115" s="17" t="str">
        <x:v>Attention to detail</x:v>
      </x:c>
      <x:c r="F115" s="17" t="str">
        <x:v>DA|DA-023|Attention to detail</x:v>
      </x:c>
      <x:c r="G115" s="9" t="n">
        <x:v>1</x:v>
      </x:c>
    </x:row>
    <x:row r="116">
      <x:c r="A116" s="9" t="str">
        <x:v>DA</x:v>
      </x:c>
      <x:c r="B116" s="9" t="str">
        <x:v>DA-023</x:v>
      </x:c>
      <x:c r="C116" s="9" t="str">
        <x:v>Soft skill</x:v>
      </x:c>
      <x:c r="D116" s="17" t="str">
        <x:v>Collaborate</x:v>
      </x:c>
      <x:c r="E116" s="17" t="str">
        <x:v>Collaboration</x:v>
      </x:c>
      <x:c r="F116" s="17" t="str">
        <x:v>DA|DA-023|Collaboration</x:v>
      </x:c>
      <x:c r="G116" s="9" t="n">
        <x:v>1</x:v>
      </x:c>
    </x:row>
    <x:row r="117">
      <x:c r="A117" s="9" t="str">
        <x:v>DA</x:v>
      </x:c>
      <x:c r="B117" s="9" t="str">
        <x:v>DA-023</x:v>
      </x:c>
      <x:c r="C117" s="9" t="str">
        <x:v>Readiness signal</x:v>
      </x:c>
      <x:c r="D117" s="17" t="str">
        <x:v>working independently</x:v>
      </x:c>
      <x:c r="E117" s="17" t="str">
        <x:v>Self-management</x:v>
      </x:c>
      <x:c r="F117" s="17" t="str">
        <x:v>DA|DA-023|Self-management</x:v>
      </x:c>
      <x:c r="G117" s="9" t="n">
        <x:v>1</x:v>
      </x:c>
    </x:row>
    <x:row r="118">
      <x:c r="A118" s="9" t="str">
        <x:v>DA</x:v>
      </x:c>
      <x:c r="B118" s="9" t="str">
        <x:v>DA-024</x:v>
      </x:c>
      <x:c r="C118" s="9" t="str">
        <x:v>Soft skill</x:v>
      </x:c>
      <x:c r="D118" s="17" t="str">
        <x:v>attention to detail</x:v>
      </x:c>
      <x:c r="E118" s="17" t="str">
        <x:v>Attention to detail</x:v>
      </x:c>
      <x:c r="F118" s="17" t="str">
        <x:v>DA|DA-024|Attention to detail</x:v>
      </x:c>
      <x:c r="G118" s="9" t="n">
        <x:v>1</x:v>
      </x:c>
    </x:row>
    <x:row r="119">
      <x:c r="A119" s="9" t="str">
        <x:v>DA</x:v>
      </x:c>
      <x:c r="B119" s="9" t="str">
        <x:v>DA-024</x:v>
      </x:c>
      <x:c r="C119" s="9" t="str">
        <x:v>Soft skill</x:v>
      </x:c>
      <x:c r="D119" s="17" t="str">
        <x:v>problem-solving skills</x:v>
      </x:c>
      <x:c r="E119" s="17" t="str">
        <x:v>Problem-solving</x:v>
      </x:c>
      <x:c r="F119" s="17" t="str">
        <x:v>DA|DA-024|Problem-solving</x:v>
      </x:c>
      <x:c r="G119" s="9" t="n">
        <x:v>1</x:v>
      </x:c>
    </x:row>
    <x:row r="120">
      <x:c r="A120" s="9" t="str">
        <x:v>DA</x:v>
      </x:c>
      <x:c r="B120" s="9" t="str">
        <x:v>DA-024</x:v>
      </x:c>
      <x:c r="C120" s="9" t="str">
        <x:v>Soft skill</x:v>
      </x:c>
      <x:c r="D120" s="17" t="str">
        <x:v>time management</x:v>
      </x:c>
      <x:c r="E120" s="17" t="str">
        <x:v>Self-management</x:v>
      </x:c>
      <x:c r="F120" s="17" t="str">
        <x:v>DA|DA-024|Self-management</x:v>
      </x:c>
      <x:c r="G120" s="9" t="n">
        <x:v>1</x:v>
      </x:c>
    </x:row>
    <x:row r="121">
      <x:c r="A121" s="9" t="str">
        <x:v>DA</x:v>
      </x:c>
      <x:c r="B121" s="9" t="str">
        <x:v>DA-024</x:v>
      </x:c>
      <x:c r="C121" s="9" t="str">
        <x:v>Soft skill</x:v>
      </x:c>
      <x:c r="D121" s="17" t="str">
        <x:v>self-motivated</x:v>
      </x:c>
      <x:c r="E121" s="17" t="str">
        <x:v>Self-management</x:v>
      </x:c>
      <x:c r="F121" s="17" t="str">
        <x:v>DA|DA-024|Self-management</x:v>
      </x:c>
      <x:c r="G121" s="9" t="n">
        <x:v>0</x:v>
      </x:c>
    </x:row>
    <x:row r="122">
      <x:c r="A122" s="9" t="str">
        <x:v>DA</x:v>
      </x:c>
      <x:c r="B122" s="9" t="str">
        <x:v>DA-024</x:v>
      </x:c>
      <x:c r="C122" s="9" t="str">
        <x:v>Readiness signal</x:v>
      </x:c>
      <x:c r="D122" s="17" t="str">
        <x:v>willingness to learn</x:v>
      </x:c>
      <x:c r="E122" s="17" t="str">
        <x:v>Learning and initiative</x:v>
      </x:c>
      <x:c r="F122" s="17" t="str">
        <x:v>DA|DA-024|Learning and initiative</x:v>
      </x:c>
      <x:c r="G122" s="9" t="n">
        <x:v>1</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9" hidden="0" customWidth="1"/>
    <x:col min="2" max="2" width="12" hidden="0" customWidth="1"/>
    <x:col min="3" max="3" width="20" hidden="0" customWidth="1"/>
    <x:col min="4" max="4" width="25" hidden="0" customWidth="1"/>
    <x:col min="5" max="5" width="24" hidden="0" customWidth="1"/>
    <x:col min="6" max="6" width="76" hidden="0" customWidth="1"/>
  </x:cols>
  <x:sheetData>
    <x:row r="1">
      <x:c r="A1" s="5" t="str">
        <x:v>Track</x:v>
      </x:c>
      <x:c r="B1" s="5" t="str">
        <x:v>Post ID</x:v>
      </x:c>
      <x:c r="C1" s="5" t="str">
        <x:v>Dimension</x:v>
      </x:c>
      <x:c r="D1" s="5" t="str">
        <x:v>Skill / tool</x:v>
      </x:c>
      <x:c r="E1" s="5" t="str">
        <x:v>Classification</x:v>
      </x:c>
      <x:c r="F1" s="5" t="str">
        <x:v>Captured evidence context</x:v>
      </x:c>
    </x:row>
    <x:row r="2">
      <x:c r="A2" s="8" t="str">
        <x:v>SE</x:v>
      </x:c>
      <x:c r="B2" s="8" t="str">
        <x:v>SE-001</x:v>
      </x:c>
      <x:c r="C2" s="8" t="str">
        <x:v>languages</x:v>
      </x:c>
      <x:c r="D2" s="8" t="str">
        <x:v>C#</x:v>
      </x:c>
      <x:c r="E2" s="16" t="str">
        <x:v>Unclear / not classified</x:v>
      </x:c>
      <x:c r="F2" s="16" t="str">
        <x:v>Skill not present in captured requirement context</x:v>
      </x:c>
    </x:row>
    <x:row r="3">
      <x:c r="A3" s="9" t="str">
        <x:v>SE</x:v>
      </x:c>
      <x:c r="B3" s="9" t="str">
        <x:v>SE-001</x:v>
      </x:c>
      <x:c r="C3" s="9" t="str">
        <x:v>languages</x:v>
      </x:c>
      <x:c r="D3" s="9" t="str">
        <x:v>SQL</x:v>
      </x:c>
      <x:c r="E3" s="17" t="str">
        <x:v>Unclear / not classified</x:v>
      </x:c>
      <x:c r="F3" s="17" t="str">
        <x:v>Skill not present in captured requirement context</x:v>
      </x:c>
    </x:row>
    <x:row r="4">
      <x:c r="A4" s="9" t="str">
        <x:v>SE</x:v>
      </x:c>
      <x:c r="B4" s="9" t="str">
        <x:v>SE-001</x:v>
      </x:c>
      <x:c r="C4" s="9" t="str">
        <x:v>frameworks</x:v>
      </x:c>
      <x:c r="D4" s="9" t="str">
        <x:v>.NET</x:v>
      </x:c>
      <x:c r="E4" s="17" t="str">
        <x:v>Unclear / not classified</x:v>
      </x:c>
      <x:c r="F4" s="17" t="str">
        <x:v>Skill not present in captured requirement context</x:v>
      </x:c>
    </x:row>
    <x:row r="5">
      <x:c r="A5" s="9" t="str">
        <x:v>SE</x:v>
      </x:c>
      <x:c r="B5" s="9" t="str">
        <x:v>SE-001</x:v>
      </x:c>
      <x:c r="C5" s="9" t="str">
        <x:v>tools</x:v>
      </x:c>
      <x:c r="D5" s="9" t="str">
        <x:v>SQL Server</x:v>
      </x:c>
      <x:c r="E5" s="17" t="str">
        <x:v>Unclear / not classified</x:v>
      </x:c>
      <x:c r="F5" s="17" t="str">
        <x:v>Skill not present in captured requirement context</x:v>
      </x:c>
    </x:row>
    <x:row r="6">
      <x:c r="A6" s="9" t="str">
        <x:v>SE</x:v>
      </x:c>
      <x:c r="B6" s="9" t="str">
        <x:v>SE-002</x:v>
      </x:c>
      <x:c r="C6" s="9" t="str">
        <x:v>languages</x:v>
      </x:c>
      <x:c r="D6" s="9" t="str">
        <x:v>C#</x:v>
      </x:c>
      <x:c r="E6" s="17" t="str">
        <x:v>Unclear / not classified</x:v>
      </x:c>
      <x:c r="F6" s="17" t="str">
        <x:v>Skill not present in captured requirement context</x:v>
      </x:c>
    </x:row>
    <x:row r="7">
      <x:c r="A7" s="9" t="str">
        <x:v>SE</x:v>
      </x:c>
      <x:c r="B7" s="9" t="str">
        <x:v>SE-002</x:v>
      </x:c>
      <x:c r="C7" s="9" t="str">
        <x:v>languages</x:v>
      </x:c>
      <x:c r="D7" s="9" t="str">
        <x:v>Java</x:v>
      </x:c>
      <x:c r="E7" s="17" t="str">
        <x:v>Unclear / not classified</x:v>
      </x:c>
      <x:c r="F7" s="17" t="str">
        <x:v>Skill not present in captured requirement context</x:v>
      </x:c>
    </x:row>
    <x:row r="8">
      <x:c r="A8" s="9" t="str">
        <x:v>SE</x:v>
      </x:c>
      <x:c r="B8" s="9" t="str">
        <x:v>SE-002</x:v>
      </x:c>
      <x:c r="C8" s="9" t="str">
        <x:v>languages</x:v>
      </x:c>
      <x:c r="D8" s="9" t="str">
        <x:v>Python</x:v>
      </x:c>
      <x:c r="E8" s="17" t="str">
        <x:v>Unclear / not classified</x:v>
      </x:c>
      <x:c r="F8" s="17" t="str">
        <x:v>Skill not present in captured requirement context</x:v>
      </x:c>
    </x:row>
    <x:row r="9">
      <x:c r="A9" s="9" t="str">
        <x:v>SE</x:v>
      </x:c>
      <x:c r="B9" s="9" t="str">
        <x:v>SE-002</x:v>
      </x:c>
      <x:c r="C9" s="9" t="str">
        <x:v>languages</x:v>
      </x:c>
      <x:c r="D9" s="9" t="str">
        <x:v>SQL</x:v>
      </x:c>
      <x:c r="E9" s="17" t="str">
        <x:v>Unclear / not classified</x:v>
      </x:c>
      <x:c r="F9" s="17" t="str">
        <x:v>Skill not present in captured requirement context</x:v>
      </x:c>
    </x:row>
    <x:row r="10">
      <x:c r="A10" s="9" t="str">
        <x:v>SE</x:v>
      </x:c>
      <x:c r="B10" s="9" t="str">
        <x:v>SE-002</x:v>
      </x:c>
      <x:c r="C10" s="9" t="str">
        <x:v>frameworks</x:v>
      </x:c>
      <x:c r="D10" s="9" t="str">
        <x:v>.NET</x:v>
      </x:c>
      <x:c r="E10" s="17" t="str">
        <x:v>Unclear / not classified</x:v>
      </x:c>
      <x:c r="F10" s="17" t="str">
        <x:v>Skill not present in captured requirement context</x:v>
      </x:c>
    </x:row>
    <x:row r="11">
      <x:c r="A11" s="9" t="str">
        <x:v>SE</x:v>
      </x:c>
      <x:c r="B11" s="9" t="str">
        <x:v>SE-002</x:v>
      </x:c>
      <x:c r="C11" s="9" t="str">
        <x:v>tools</x:v>
      </x:c>
      <x:c r="D11" s="9" t="str">
        <x:v>Git/GitHub</x:v>
      </x:c>
      <x:c r="E11" s="17" t="str">
        <x:v>Unclear / not classified</x:v>
      </x:c>
      <x:c r="F11" s="17" t="str">
        <x:v>Skill not present in captured requirement context</x:v>
      </x:c>
    </x:row>
    <x:row r="12">
      <x:c r="A12" s="9" t="str">
        <x:v>SE</x:v>
      </x:c>
      <x:c r="B12" s="9" t="str">
        <x:v>SE-002</x:v>
      </x:c>
      <x:c r="C12" s="9" t="str">
        <x:v>tools</x:v>
      </x:c>
      <x:c r="D12" s="9" t="str">
        <x:v>Azure</x:v>
      </x:c>
      <x:c r="E12" s="17" t="str">
        <x:v>Unclear / not classified</x:v>
      </x:c>
      <x:c r="F12" s="17" t="str">
        <x:v>Skill not present in captured requirement context</x:v>
      </x:c>
    </x:row>
    <x:row r="13">
      <x:c r="A13" s="9" t="str">
        <x:v>SE</x:v>
      </x:c>
      <x:c r="B13" s="9" t="str">
        <x:v>SE-002</x:v>
      </x:c>
      <x:c r="C13" s="9" t="str">
        <x:v>tools</x:v>
      </x:c>
      <x:c r="D13" s="9" t="str">
        <x:v>Docker</x:v>
      </x:c>
      <x:c r="E13" s="17" t="str">
        <x:v>Unclear / not classified</x:v>
      </x:c>
      <x:c r="F13" s="17" t="str">
        <x:v>Skill not present in captured requirement context</x:v>
      </x:c>
    </x:row>
    <x:row r="14">
      <x:c r="A14" s="9" t="str">
        <x:v>SE</x:v>
      </x:c>
      <x:c r="B14" s="9" t="str">
        <x:v>SE-004</x:v>
      </x:c>
      <x:c r="C14" s="9" t="str">
        <x:v>languages</x:v>
      </x:c>
      <x:c r="D14" s="9" t="str">
        <x:v>C#</x:v>
      </x:c>
      <x:c r="E14" s="17" t="str">
        <x:v>Unclear / not classified</x:v>
      </x:c>
      <x:c r="F14" s="17" t="str">
        <x:v>Skill not present in captured requirement context</x:v>
      </x:c>
    </x:row>
    <x:row r="15">
      <x:c r="A15" s="9" t="str">
        <x:v>SE</x:v>
      </x:c>
      <x:c r="B15" s="9" t="str">
        <x:v>SE-004</x:v>
      </x:c>
      <x:c r="C15" s="9" t="str">
        <x:v>languages</x:v>
      </x:c>
      <x:c r="D15" s="9" t="str">
        <x:v>Java</x:v>
      </x:c>
      <x:c r="E15" s="17" t="str">
        <x:v>Unclear / not classified</x:v>
      </x:c>
      <x:c r="F15" s="17" t="str">
        <x:v>Skill not present in captured requirement context</x:v>
      </x:c>
    </x:row>
    <x:row r="16">
      <x:c r="A16" s="9" t="str">
        <x:v>SE</x:v>
      </x:c>
      <x:c r="B16" s="9" t="str">
        <x:v>SE-004</x:v>
      </x:c>
      <x:c r="C16" s="9" t="str">
        <x:v>languages</x:v>
      </x:c>
      <x:c r="D16" s="9" t="str">
        <x:v>Python</x:v>
      </x:c>
      <x:c r="E16" s="17" t="str">
        <x:v>Unclear / not classified</x:v>
      </x:c>
      <x:c r="F16" s="17" t="str">
        <x:v>Skill not present in captured requirement context</x:v>
      </x:c>
    </x:row>
    <x:row r="17">
      <x:c r="A17" s="9" t="str">
        <x:v>SE</x:v>
      </x:c>
      <x:c r="B17" s="9" t="str">
        <x:v>SE-004</x:v>
      </x:c>
      <x:c r="C17" s="9" t="str">
        <x:v>tools</x:v>
      </x:c>
      <x:c r="D17" s="9" t="str">
        <x:v>Linux</x:v>
      </x:c>
      <x:c r="E17" s="17" t="str">
        <x:v>Unclear / not classified</x:v>
      </x:c>
      <x:c r="F17" s="17" t="str">
        <x:v>Skill not present in captured requirement context</x:v>
      </x:c>
    </x:row>
    <x:row r="18">
      <x:c r="A18" s="9" t="str">
        <x:v>SE</x:v>
      </x:c>
      <x:c r="B18" s="9" t="str">
        <x:v>SE-005</x:v>
      </x:c>
      <x:c r="C18" s="9" t="str">
        <x:v>languages</x:v>
      </x:c>
      <x:c r="D18" s="9" t="str">
        <x:v>C#</x:v>
      </x:c>
      <x:c r="E18" s="17" t="str">
        <x:v>Unclear / not classified</x:v>
      </x:c>
      <x:c r="F18" s="17" t="str">
        <x:v>Skill not present in captured requirement context</x:v>
      </x:c>
    </x:row>
    <x:row r="19">
      <x:c r="A19" s="9" t="str">
        <x:v>SE</x:v>
      </x:c>
      <x:c r="B19" s="9" t="str">
        <x:v>SE-005</x:v>
      </x:c>
      <x:c r="C19" s="9" t="str">
        <x:v>languages</x:v>
      </x:c>
      <x:c r="D19" s="9" t="str">
        <x:v>SQL</x:v>
      </x:c>
      <x:c r="E19" s="17" t="str">
        <x:v>Unclear / not classified</x:v>
      </x:c>
      <x:c r="F19" s="17" t="str">
        <x:v>Skill not present in captured requirement context</x:v>
      </x:c>
    </x:row>
    <x:row r="20">
      <x:c r="A20" s="9" t="str">
        <x:v>SE</x:v>
      </x:c>
      <x:c r="B20" s="9" t="str">
        <x:v>SE-005</x:v>
      </x:c>
      <x:c r="C20" s="9" t="str">
        <x:v>languages</x:v>
      </x:c>
      <x:c r="D20" s="9" t="str">
        <x:v>JavaScript</x:v>
      </x:c>
      <x:c r="E20" s="17" t="str">
        <x:v>Unclear / not classified</x:v>
      </x:c>
      <x:c r="F20" s="17" t="str">
        <x:v>Skill not present in captured requirement context</x:v>
      </x:c>
    </x:row>
    <x:row r="21">
      <x:c r="A21" s="9" t="str">
        <x:v>SE</x:v>
      </x:c>
      <x:c r="B21" s="9" t="str">
        <x:v>SE-005</x:v>
      </x:c>
      <x:c r="C21" s="9" t="str">
        <x:v>languages</x:v>
      </x:c>
      <x:c r="D21" s="9" t="str">
        <x:v>TypeScript</x:v>
      </x:c>
      <x:c r="E21" s="17" t="str">
        <x:v>Unclear / not classified</x:v>
      </x:c>
      <x:c r="F21" s="17" t="str">
        <x:v>Skill not present in captured requirement context</x:v>
      </x:c>
    </x:row>
    <x:row r="22">
      <x:c r="A22" s="9" t="str">
        <x:v>SE</x:v>
      </x:c>
      <x:c r="B22" s="9" t="str">
        <x:v>SE-005</x:v>
      </x:c>
      <x:c r="C22" s="9" t="str">
        <x:v>languages</x:v>
      </x:c>
      <x:c r="D22" s="9" t="str">
        <x:v>Java</x:v>
      </x:c>
      <x:c r="E22" s="17" t="str">
        <x:v>Unclear / not classified</x:v>
      </x:c>
      <x:c r="F22" s="17" t="str">
        <x:v>Skill not present in captured requirement context</x:v>
      </x:c>
    </x:row>
    <x:row r="23">
      <x:c r="A23" s="9" t="str">
        <x:v>SE</x:v>
      </x:c>
      <x:c r="B23" s="9" t="str">
        <x:v>SE-005</x:v>
      </x:c>
      <x:c r="C23" s="9" t="str">
        <x:v>languages</x:v>
      </x:c>
      <x:c r="D23" s="9" t="str">
        <x:v>Python</x:v>
      </x:c>
      <x:c r="E23" s="17" t="str">
        <x:v>Unclear / not classified</x:v>
      </x:c>
      <x:c r="F23" s="17" t="str">
        <x:v>Skill not present in captured requirement context</x:v>
      </x:c>
    </x:row>
    <x:row r="24">
      <x:c r="A24" s="9" t="str">
        <x:v>SE</x:v>
      </x:c>
      <x:c r="B24" s="9" t="str">
        <x:v>SE-005</x:v>
      </x:c>
      <x:c r="C24" s="9" t="str">
        <x:v>languages</x:v>
      </x:c>
      <x:c r="D24" s="9" t="str">
        <x:v>PHP</x:v>
      </x:c>
      <x:c r="E24" s="17" t="str">
        <x:v>Unclear / not classified</x:v>
      </x:c>
      <x:c r="F24" s="17" t="str">
        <x:v>Skill not present in captured requirement context</x:v>
      </x:c>
    </x:row>
    <x:row r="25">
      <x:c r="A25" s="9" t="str">
        <x:v>SE</x:v>
      </x:c>
      <x:c r="B25" s="9" t="str">
        <x:v>SE-005</x:v>
      </x:c>
      <x:c r="C25" s="9" t="str">
        <x:v>languages</x:v>
      </x:c>
      <x:c r="D25" s="9" t="str">
        <x:v>HTML/CSS</x:v>
      </x:c>
      <x:c r="E25" s="17" t="str">
        <x:v>Unclear / not classified</x:v>
      </x:c>
      <x:c r="F25" s="17" t="str">
        <x:v>Skill not present in captured requirement context</x:v>
      </x:c>
    </x:row>
    <x:row r="26">
      <x:c r="A26" s="9" t="str">
        <x:v>SE</x:v>
      </x:c>
      <x:c r="B26" s="9" t="str">
        <x:v>SE-005</x:v>
      </x:c>
      <x:c r="C26" s="9" t="str">
        <x:v>frameworks</x:v>
      </x:c>
      <x:c r="D26" s="9" t="str">
        <x:v>.NET</x:v>
      </x:c>
      <x:c r="E26" s="17" t="str">
        <x:v>Unclear / not classified</x:v>
      </x:c>
      <x:c r="F26" s="17" t="str">
        <x:v>Skill not present in captured requirement context</x:v>
      </x:c>
    </x:row>
    <x:row r="27">
      <x:c r="A27" s="9" t="str">
        <x:v>SE</x:v>
      </x:c>
      <x:c r="B27" s="9" t="str">
        <x:v>SE-005</x:v>
      </x:c>
      <x:c r="C27" s="9" t="str">
        <x:v>frameworks</x:v>
      </x:c>
      <x:c r="D27" s="9" t="str">
        <x:v>React</x:v>
      </x:c>
      <x:c r="E27" s="17" t="str">
        <x:v>Unclear / not classified</x:v>
      </x:c>
      <x:c r="F27" s="17" t="str">
        <x:v>Skill not present in captured requirement context</x:v>
      </x:c>
    </x:row>
    <x:row r="28">
      <x:c r="A28" s="9" t="str">
        <x:v>SE</x:v>
      </x:c>
      <x:c r="B28" s="9" t="str">
        <x:v>SE-005</x:v>
      </x:c>
      <x:c r="C28" s="9" t="str">
        <x:v>frameworks</x:v>
      </x:c>
      <x:c r="D28" s="9" t="str">
        <x:v>Angular</x:v>
      </x:c>
      <x:c r="E28" s="17" t="str">
        <x:v>Unclear / not classified</x:v>
      </x:c>
      <x:c r="F28" s="17" t="str">
        <x:v>Skill not present in captured requirement context</x:v>
      </x:c>
    </x:row>
    <x:row r="29">
      <x:c r="A29" s="9" t="str">
        <x:v>SE</x:v>
      </x:c>
      <x:c r="B29" s="9" t="str">
        <x:v>SE-005</x:v>
      </x:c>
      <x:c r="C29" s="9" t="str">
        <x:v>frameworks</x:v>
      </x:c>
      <x:c r="D29" s="9" t="str">
        <x:v>Django</x:v>
      </x:c>
      <x:c r="E29" s="17" t="str">
        <x:v>Unclear / not classified</x:v>
      </x:c>
      <x:c r="F29" s="17" t="str">
        <x:v>Skill not present in captured requirement context</x:v>
      </x:c>
    </x:row>
    <x:row r="30">
      <x:c r="A30" s="9" t="str">
        <x:v>SE</x:v>
      </x:c>
      <x:c r="B30" s="9" t="str">
        <x:v>SE-005</x:v>
      </x:c>
      <x:c r="C30" s="9" t="str">
        <x:v>tools</x:v>
      </x:c>
      <x:c r="D30" s="9" t="str">
        <x:v>Azure</x:v>
      </x:c>
      <x:c r="E30" s="17" t="str">
        <x:v>Unclear / not classified</x:v>
      </x:c>
      <x:c r="F30" s="17" t="str">
        <x:v>Skill not present in captured requirement context</x:v>
      </x:c>
    </x:row>
    <x:row r="31">
      <x:c r="A31" s="9" t="str">
        <x:v>SE</x:v>
      </x:c>
      <x:c r="B31" s="9" t="str">
        <x:v>SE-005</x:v>
      </x:c>
      <x:c r="C31" s="9" t="str">
        <x:v>tools</x:v>
      </x:c>
      <x:c r="D31" s="9" t="str">
        <x:v>Git/GitHub</x:v>
      </x:c>
      <x:c r="E31" s="17" t="str">
        <x:v>Unclear / not classified</x:v>
      </x:c>
      <x:c r="F31" s="17" t="str">
        <x:v>Skill not present in captured requirement context</x:v>
      </x:c>
    </x:row>
    <x:row r="32">
      <x:c r="A32" s="9" t="str">
        <x:v>SE</x:v>
      </x:c>
      <x:c r="B32" s="9" t="str">
        <x:v>SE-005</x:v>
      </x:c>
      <x:c r="C32" s="9" t="str">
        <x:v>tools</x:v>
      </x:c>
      <x:c r="D32" s="9" t="str">
        <x:v>Jira</x:v>
      </x:c>
      <x:c r="E32" s="17" t="str">
        <x:v>Unclear / not classified</x:v>
      </x:c>
      <x:c r="F32" s="17" t="str">
        <x:v>Skill not present in captured requirement context</x:v>
      </x:c>
    </x:row>
    <x:row r="33">
      <x:c r="A33" s="9" t="str">
        <x:v>SE</x:v>
      </x:c>
      <x:c r="B33" s="9" t="str">
        <x:v>SE-005</x:v>
      </x:c>
      <x:c r="C33" s="9" t="str">
        <x:v>tools</x:v>
      </x:c>
      <x:c r="D33" s="9" t="str">
        <x:v>SQL Server</x:v>
      </x:c>
      <x:c r="E33" s="17" t="str">
        <x:v>Unclear / not classified</x:v>
      </x:c>
      <x:c r="F33" s="17" t="str">
        <x:v>Skill not present in captured requirement context</x:v>
      </x:c>
    </x:row>
    <x:row r="34">
      <x:c r="A34" s="9" t="str">
        <x:v>SE</x:v>
      </x:c>
      <x:c r="B34" s="9" t="str">
        <x:v>SE-005</x:v>
      </x:c>
      <x:c r="C34" s="9" t="str">
        <x:v>tools</x:v>
      </x:c>
      <x:c r="D34" s="9" t="str">
        <x:v>Docker</x:v>
      </x:c>
      <x:c r="E34" s="17" t="str">
        <x:v>Unclear / not classified</x:v>
      </x:c>
      <x:c r="F34" s="17" t="str">
        <x:v>Skill not present in captured requirement context</x:v>
      </x:c>
    </x:row>
    <x:row r="35">
      <x:c r="A35" s="9" t="str">
        <x:v>SE</x:v>
      </x:c>
      <x:c r="B35" s="9" t="str">
        <x:v>SE-005</x:v>
      </x:c>
      <x:c r="C35" s="9" t="str">
        <x:v>tools</x:v>
      </x:c>
      <x:c r="D35" s="9" t="str">
        <x:v>AWS</x:v>
      </x:c>
      <x:c r="E35" s="17" t="str">
        <x:v>Unclear / not classified</x:v>
      </x:c>
      <x:c r="F35" s="17" t="str">
        <x:v>Skill not present in captured requirement context</x:v>
      </x:c>
    </x:row>
    <x:row r="36">
      <x:c r="A36" s="9" t="str">
        <x:v>SE</x:v>
      </x:c>
      <x:c r="B36" s="9" t="str">
        <x:v>SE-007</x:v>
      </x:c>
      <x:c r="C36" s="9" t="str">
        <x:v>languages</x:v>
      </x:c>
      <x:c r="D36" s="9" t="str">
        <x:v>HTML/CSS</x:v>
      </x:c>
      <x:c r="E36" s="17" t="str">
        <x:v>Required</x:v>
      </x:c>
      <x:c r="F36" s="17" t="str">
        <x:v>of web technologies and a deep respect for the clarity of information. You should have a working knowledge of HTML, CSS, and basic JavaScript. Familiarity with content management systems or static site generators is helpful,</x:v>
      </x:c>
    </x:row>
    <x:row r="37">
      <x:c r="A37" s="9" t="str">
        <x:v>SE</x:v>
      </x:c>
      <x:c r="B37" s="9" t="str">
        <x:v>SE-007</x:v>
      </x:c>
      <x:c r="C37" s="9" t="str">
        <x:v>languages</x:v>
      </x:c>
      <x:c r="D37" s="9" t="str">
        <x:v>JavaScript</x:v>
      </x:c>
      <x:c r="E37" s="17" t="str">
        <x:v>Required</x:v>
      </x:c>
      <x:c r="F37" s="17" t="str">
        <x:v>nd a deep respect for the clarity of information. You should have a working knowledge of HTML, CSS, and basic JavaScript. Familiarity with content management systems or static site generators is helpful, as is an interest in how t</x:v>
      </x:c>
    </x:row>
    <x:row r="38">
      <x:c r="A38" s="9" t="str">
        <x:v>SE</x:v>
      </x:c>
      <x:c r="B38" s="9" t="str">
        <x:v>SE-007</x:v>
      </x:c>
      <x:c r="C38" s="9" t="str">
        <x:v>languages</x:v>
      </x:c>
      <x:c r="D38" s="9" t="str">
        <x:v>C#</x:v>
      </x:c>
      <x:c r="E38" s="17" t="str">
        <x:v>Unclear / not classified</x:v>
      </x:c>
      <x:c r="F38" s="17" t="str">
        <x:v>Skill not present in captured requirement context</x:v>
      </x:c>
    </x:row>
    <x:row r="39">
      <x:c r="A39" s="9" t="str">
        <x:v>SE</x:v>
      </x:c>
      <x:c r="B39" s="9" t="str">
        <x:v>SE-007</x:v>
      </x:c>
      <x:c r="C39" s="9" t="str">
        <x:v>languages</x:v>
      </x:c>
      <x:c r="D39" s="9" t="str">
        <x:v>PHP</x:v>
      </x:c>
      <x:c r="E39" s="17" t="str">
        <x:v>Unclear / not classified</x:v>
      </x:c>
      <x:c r="F39" s="17" t="str">
        <x:v>Skill not present in captured requirement context</x:v>
      </x:c>
    </x:row>
    <x:row r="40">
      <x:c r="A40" s="9" t="str">
        <x:v>SE</x:v>
      </x:c>
      <x:c r="B40" s="9" t="str">
        <x:v>SE-007</x:v>
      </x:c>
      <x:c r="C40" s="9" t="str">
        <x:v>languages</x:v>
      </x:c>
      <x:c r="D40" s="9" t="str">
        <x:v>Java</x:v>
      </x:c>
      <x:c r="E40" s="17" t="str">
        <x:v>Unclear / not classified</x:v>
      </x:c>
      <x:c r="F40" s="17" t="str">
        <x:v>Skill not present in captured requirement context</x:v>
      </x:c>
    </x:row>
    <x:row r="41">
      <x:c r="A41" s="9" t="str">
        <x:v>SE</x:v>
      </x:c>
      <x:c r="B41" s="9" t="str">
        <x:v>SE-007</x:v>
      </x:c>
      <x:c r="C41" s="9" t="str">
        <x:v>languages</x:v>
      </x:c>
      <x:c r="D41" s="9" t="str">
        <x:v>Python</x:v>
      </x:c>
      <x:c r="E41" s="17" t="str">
        <x:v>Unclear / not classified</x:v>
      </x:c>
      <x:c r="F41" s="17" t="str">
        <x:v>Skill not present in captured requirement context</x:v>
      </x:c>
    </x:row>
    <x:row r="42">
      <x:c r="A42" s="9" t="str">
        <x:v>SE</x:v>
      </x:c>
      <x:c r="B42" s="9" t="str">
        <x:v>SE-007</x:v>
      </x:c>
      <x:c r="C42" s="9" t="str">
        <x:v>frameworks</x:v>
      </x:c>
      <x:c r="D42" s="9" t="str">
        <x:v>React</x:v>
      </x:c>
      <x:c r="E42" s="17" t="str">
        <x:v>Unclear / not classified</x:v>
      </x:c>
      <x:c r="F42" s="17" t="str">
        <x:v>Skill not present in captured requirement context</x:v>
      </x:c>
    </x:row>
    <x:row r="43">
      <x:c r="A43" s="9" t="str">
        <x:v>SE</x:v>
      </x:c>
      <x:c r="B43" s="9" t="str">
        <x:v>SE-007</x:v>
      </x:c>
      <x:c r="C43" s="9" t="str">
        <x:v>frameworks</x:v>
      </x:c>
      <x:c r="D43" s="9" t="str">
        <x:v>.NET</x:v>
      </x:c>
      <x:c r="E43" s="17" t="str">
        <x:v>Unclear / not classified</x:v>
      </x:c>
      <x:c r="F43" s="17" t="str">
        <x:v>Skill not present in captured requirement context</x:v>
      </x:c>
    </x:row>
    <x:row r="44">
      <x:c r="A44" s="9" t="str">
        <x:v>SE</x:v>
      </x:c>
      <x:c r="B44" s="9" t="str">
        <x:v>SE-007</x:v>
      </x:c>
      <x:c r="C44" s="9" t="str">
        <x:v>frameworks</x:v>
      </x:c>
      <x:c r="D44" s="9" t="str">
        <x:v>Django</x:v>
      </x:c>
      <x:c r="E44" s="17" t="str">
        <x:v>Unclear / not classified</x:v>
      </x:c>
      <x:c r="F44" s="17" t="str">
        <x:v>Skill not present in captured requirement context</x:v>
      </x:c>
    </x:row>
    <x:row r="45">
      <x:c r="A45" s="9" t="str">
        <x:v>SE</x:v>
      </x:c>
      <x:c r="B45" s="9" t="str">
        <x:v>SE-008</x:v>
      </x:c>
      <x:c r="C45" s="9" t="str">
        <x:v>languages</x:v>
      </x:c>
      <x:c r="D45" s="9" t="str">
        <x:v>Python</x:v>
      </x:c>
      <x:c r="E45" s="17" t="str">
        <x:v>Unclear / not classified</x:v>
      </x:c>
      <x:c r="F45" s="17" t="str">
        <x:v>and AI specialists, you’ll contribute to real product features while developing your skills in areas such as Python, TypeScript, APIs and Microsoft Azure. You’ll participate in code reviews, testing and collaborative problem-</x:v>
      </x:c>
    </x:row>
    <x:row r="46">
      <x:c r="A46" s="9" t="str">
        <x:v>SE</x:v>
      </x:c>
      <x:c r="B46" s="9" t="str">
        <x:v>SE-008</x:v>
      </x:c>
      <x:c r="C46" s="9" t="str">
        <x:v>languages</x:v>
      </x:c>
      <x:c r="D46" s="9" t="str">
        <x:v>TypeScript</x:v>
      </x:c>
      <x:c r="E46" s="17" t="str">
        <x:v>Unclear / not classified</x:v>
      </x:c>
      <x:c r="F46" s="17" t="str">
        <x:v>specialists, you’ll contribute to real product features while developing your skills in areas such as Python, TypeScript, APIs and Microsoft Azure. You’ll participate in code reviews, testing and collaborative problem-solving, gai</x:v>
      </x:c>
    </x:row>
    <x:row r="47">
      <x:c r="A47" s="9" t="str">
        <x:v>SE</x:v>
      </x:c>
      <x:c r="B47" s="9" t="str">
        <x:v>SE-008</x:v>
      </x:c>
      <x:c r="C47" s="9" t="str">
        <x:v>languages</x:v>
      </x:c>
      <x:c r="D47" s="9" t="str">
        <x:v>JavaScript</x:v>
      </x:c>
      <x:c r="E47" s="17" t="str">
        <x:v>Unclear / not classified</x:v>
      </x:c>
      <x:c r="F47" s="17" t="str">
        <x:v>Skill not present in captured requirement context</x:v>
      </x:c>
    </x:row>
    <x:row r="48">
      <x:c r="A48" s="9" t="str">
        <x:v>SE</x:v>
      </x:c>
      <x:c r="B48" s="9" t="str">
        <x:v>SE-008</x:v>
      </x:c>
      <x:c r="C48" s="9" t="str">
        <x:v>languages</x:v>
      </x:c>
      <x:c r="D48" s="9" t="str">
        <x:v>C#</x:v>
      </x:c>
      <x:c r="E48" s="17" t="str">
        <x:v>Unclear / not classified</x:v>
      </x:c>
      <x:c r="F48" s="17" t="str">
        <x:v>Skill not present in captured requirement context</x:v>
      </x:c>
    </x:row>
    <x:row r="49">
      <x:c r="A49" s="9" t="str">
        <x:v>SE</x:v>
      </x:c>
      <x:c r="B49" s="9" t="str">
        <x:v>SE-008</x:v>
      </x:c>
      <x:c r="C49" s="9" t="str">
        <x:v>languages</x:v>
      </x:c>
      <x:c r="D49" s="9" t="str">
        <x:v>Java</x:v>
      </x:c>
      <x:c r="E49" s="17" t="str">
        <x:v>Unclear / not classified</x:v>
      </x:c>
      <x:c r="F49" s="17" t="str">
        <x:v>Skill not present in captured requirement context</x:v>
      </x:c>
    </x:row>
    <x:row r="50">
      <x:c r="A50" s="9" t="str">
        <x:v>SE</x:v>
      </x:c>
      <x:c r="B50" s="9" t="str">
        <x:v>SE-008</x:v>
      </x:c>
      <x:c r="C50" s="9" t="str">
        <x:v>frameworks</x:v>
      </x:c>
      <x:c r="D50" s="9" t="str">
        <x:v>React</x:v>
      </x:c>
      <x:c r="E50" s="17" t="str">
        <x:v>Unclear / not classified</x:v>
      </x:c>
      <x:c r="F50" s="17" t="str">
        <x:v>Skill not present in captured requirement context</x:v>
      </x:c>
    </x:row>
    <x:row r="51">
      <x:c r="A51" s="9" t="str">
        <x:v>SE</x:v>
      </x:c>
      <x:c r="B51" s="9" t="str">
        <x:v>SE-008</x:v>
      </x:c>
      <x:c r="C51" s="9" t="str">
        <x:v>frameworks</x:v>
      </x:c>
      <x:c r="D51" s="9" t="str">
        <x:v>.NET</x:v>
      </x:c>
      <x:c r="E51" s="17" t="str">
        <x:v>Unclear / not classified</x:v>
      </x:c>
      <x:c r="F51" s="17" t="str">
        <x:v>Skill not present in captured requirement context</x:v>
      </x:c>
    </x:row>
    <x:row r="52">
      <x:c r="A52" s="9" t="str">
        <x:v>SE</x:v>
      </x:c>
      <x:c r="B52" s="9" t="str">
        <x:v>SE-008</x:v>
      </x:c>
      <x:c r="C52" s="9" t="str">
        <x:v>tools</x:v>
      </x:c>
      <x:c r="D52" s="9" t="str">
        <x:v>Azure</x:v>
      </x:c>
      <x:c r="E52" s="17" t="str">
        <x:v>Unclear / not classified</x:v>
      </x:c>
      <x:c r="F52" s="17" t="str">
        <x:v>to real product features while developing your skills in areas such as Python, TypeScript, APIs and Microsoft Azure. You’ll participate in code reviews, testing and collaborative problem-solving, gaining exposure to modern so</x:v>
      </x:c>
    </x:row>
    <x:row r="53">
      <x:c r="A53" s="9" t="str">
        <x:v>SE</x:v>
      </x:c>
      <x:c r="B53" s="9" t="str">
        <x:v>SE-008</x:v>
      </x:c>
      <x:c r="C53" s="9" t="str">
        <x:v>tools</x:v>
      </x:c>
      <x:c r="D53" s="9" t="str">
        <x:v>Git/GitHub</x:v>
      </x:c>
      <x:c r="E53" s="17" t="str">
        <x:v>Unclear / not classified</x:v>
      </x:c>
      <x:c r="F53" s="17" t="str">
        <x:v>Skill not present in captured requirement context</x:v>
      </x:c>
    </x:row>
    <x:row r="54">
      <x:c r="A54" s="9" t="str">
        <x:v>SE</x:v>
      </x:c>
      <x:c r="B54" s="9" t="str">
        <x:v>SE-008</x:v>
      </x:c>
      <x:c r="C54" s="9" t="str">
        <x:v>tools</x:v>
      </x:c>
      <x:c r="D54" s="9" t="str">
        <x:v>AWS</x:v>
      </x:c>
      <x:c r="E54" s="17" t="str">
        <x:v>Unclear / not classified</x:v>
      </x:c>
      <x:c r="F54" s="17" t="str">
        <x:v>Skill not present in captured requirement context</x:v>
      </x:c>
    </x:row>
    <x:row r="55">
      <x:c r="A55" s="9" t="str">
        <x:v>SE</x:v>
      </x:c>
      <x:c r="B55" s="9" t="str">
        <x:v>SE-011</x:v>
      </x:c>
      <x:c r="C55" s="9" t="str">
        <x:v>languages</x:v>
      </x:c>
      <x:c r="D55" s="9" t="str">
        <x:v>JavaScript</x:v>
      </x:c>
      <x:c r="E55" s="17" t="str">
        <x:v>Unclear / not classified</x:v>
      </x:c>
      <x:c r="F55" s="17" t="str">
        <x:v>Skill not present in captured requirement context</x:v>
      </x:c>
    </x:row>
    <x:row r="56">
      <x:c r="A56" s="9" t="str">
        <x:v>SE</x:v>
      </x:c>
      <x:c r="B56" s="9" t="str">
        <x:v>SE-011</x:v>
      </x:c>
      <x:c r="C56" s="9" t="str">
        <x:v>languages</x:v>
      </x:c>
      <x:c r="D56" s="9" t="str">
        <x:v>Python</x:v>
      </x:c>
      <x:c r="E56" s="17" t="str">
        <x:v>Unclear / not classified</x:v>
      </x:c>
      <x:c r="F56" s="17" t="str">
        <x:v>Skill not present in captured requirement context</x:v>
      </x:c>
    </x:row>
    <x:row r="57">
      <x:c r="A57" s="9" t="str">
        <x:v>SE</x:v>
      </x:c>
      <x:c r="B57" s="9" t="str">
        <x:v>SE-011</x:v>
      </x:c>
      <x:c r="C57" s="9" t="str">
        <x:v>languages</x:v>
      </x:c>
      <x:c r="D57" s="9" t="str">
        <x:v>Java</x:v>
      </x:c>
      <x:c r="E57" s="17" t="str">
        <x:v>Unclear / not classified</x:v>
      </x:c>
      <x:c r="F57" s="17" t="str">
        <x:v>Skill not present in captured requirement context</x:v>
      </x:c>
    </x:row>
    <x:row r="58">
      <x:c r="A58" s="9" t="str">
        <x:v>SE</x:v>
      </x:c>
      <x:c r="B58" s="9" t="str">
        <x:v>SE-011</x:v>
      </x:c>
      <x:c r="C58" s="9" t="str">
        <x:v>languages</x:v>
      </x:c>
      <x:c r="D58" s="9" t="str">
        <x:v>C#</x:v>
      </x:c>
      <x:c r="E58" s="17" t="str">
        <x:v>Unclear / not classified</x:v>
      </x:c>
      <x:c r="F58" s="17" t="str">
        <x:v>Skill not present in captured requirement context</x:v>
      </x:c>
    </x:row>
    <x:row r="59">
      <x:c r="A59" s="9" t="str">
        <x:v>SE</x:v>
      </x:c>
      <x:c r="B59" s="9" t="str">
        <x:v>SE-011</x:v>
      </x:c>
      <x:c r="C59" s="9" t="str">
        <x:v>languages</x:v>
      </x:c>
      <x:c r="D59" s="9" t="str">
        <x:v>HTML/CSS</x:v>
      </x:c>
      <x:c r="E59" s="17" t="str">
        <x:v>Unclear / not classified</x:v>
      </x:c>
      <x:c r="F59" s="17" t="str">
        <x:v>Skill not present in captured requirement context</x:v>
      </x:c>
    </x:row>
    <x:row r="60">
      <x:c r="A60" s="9" t="str">
        <x:v>SE</x:v>
      </x:c>
      <x:c r="B60" s="9" t="str">
        <x:v>SE-011</x:v>
      </x:c>
      <x:c r="C60" s="9" t="str">
        <x:v>languages</x:v>
      </x:c>
      <x:c r="D60" s="9" t="str">
        <x:v>SQL</x:v>
      </x:c>
      <x:c r="E60" s="17" t="str">
        <x:v>Unclear / not classified</x:v>
      </x:c>
      <x:c r="F60" s="17" t="str">
        <x:v>Skill not present in captured requirement context</x:v>
      </x:c>
    </x:row>
    <x:row r="61">
      <x:c r="A61" s="9" t="str">
        <x:v>SE</x:v>
      </x:c>
      <x:c r="B61" s="9" t="str">
        <x:v>SE-011</x:v>
      </x:c>
      <x:c r="C61" s="9" t="str">
        <x:v>tools</x:v>
      </x:c>
      <x:c r="D61" s="9" t="str">
        <x:v>Git/GitHub</x:v>
      </x:c>
      <x:c r="E61" s="17" t="str">
        <x:v>Unclear / not classified</x:v>
      </x:c>
      <x:c r="F61" s="17" t="str">
        <x:v>Skill not present in captured requirement context</x:v>
      </x:c>
    </x:row>
    <x:row r="62">
      <x:c r="A62" s="9" t="str">
        <x:v>SE</x:v>
      </x:c>
      <x:c r="B62" s="9" t="str">
        <x:v>SE-011</x:v>
      </x:c>
      <x:c r="C62" s="9" t="str">
        <x:v>tools</x:v>
      </x:c>
      <x:c r="D62" s="9" t="str">
        <x:v>PostgreSQL</x:v>
      </x:c>
      <x:c r="E62" s="17" t="str">
        <x:v>Unclear / not classified</x:v>
      </x:c>
      <x:c r="F62" s="17" t="str">
        <x:v>Skill not present in captured requirement context</x:v>
      </x:c>
    </x:row>
    <x:row r="63">
      <x:c r="A63" s="9" t="str">
        <x:v>SE</x:v>
      </x:c>
      <x:c r="B63" s="9" t="str">
        <x:v>SE-012</x:v>
      </x:c>
      <x:c r="C63" s="9" t="str">
        <x:v>languages</x:v>
      </x:c>
      <x:c r="D63" s="9" t="str">
        <x:v>Python</x:v>
      </x:c>
      <x:c r="E63" s="17" t="str">
        <x:v>Unclear / not classified</x:v>
      </x:c>
      <x:c r="F63" s="17" t="str">
        <x:v>Skill not present in captured requirement context</x:v>
      </x:c>
    </x:row>
    <x:row r="64">
      <x:c r="A64" s="9" t="str">
        <x:v>SE</x:v>
      </x:c>
      <x:c r="B64" s="9" t="str">
        <x:v>SE-012</x:v>
      </x:c>
      <x:c r="C64" s="9" t="str">
        <x:v>languages</x:v>
      </x:c>
      <x:c r="D64" s="9" t="str">
        <x:v>C#</x:v>
      </x:c>
      <x:c r="E64" s="17" t="str">
        <x:v>Unclear / not classified</x:v>
      </x:c>
      <x:c r="F64" s="17" t="str">
        <x:v>Skill not present in captured requirement context</x:v>
      </x:c>
    </x:row>
    <x:row r="65">
      <x:c r="A65" s="9" t="str">
        <x:v>SE</x:v>
      </x:c>
      <x:c r="B65" s="9" t="str">
        <x:v>SE-012</x:v>
      </x:c>
      <x:c r="C65" s="9" t="str">
        <x:v>tools</x:v>
      </x:c>
      <x:c r="D65" s="9" t="str">
        <x:v>Git/GitHub</x:v>
      </x:c>
      <x:c r="E65" s="17" t="str">
        <x:v>Unclear / not classified</x:v>
      </x:c>
      <x:c r="F65" s="17" t="str">
        <x:v>Skill not present in captured requirement context</x:v>
      </x:c>
    </x:row>
    <x:row r="66">
      <x:c r="A66" s="9" t="str">
        <x:v>SE</x:v>
      </x:c>
      <x:c r="B66" s="9" t="str">
        <x:v>SE-013</x:v>
      </x:c>
      <x:c r="C66" s="9" t="str">
        <x:v>languages</x:v>
      </x:c>
      <x:c r="D66" s="9" t="str">
        <x:v>C#</x:v>
      </x:c>
      <x:c r="E66" s="17" t="str">
        <x:v>Unclear / not classified</x:v>
      </x:c>
      <x:c r="F66" s="17" t="str">
        <x:v>Skill not present in captured requirement context</x:v>
      </x:c>
    </x:row>
    <x:row r="67">
      <x:c r="A67" s="9" t="str">
        <x:v>SE</x:v>
      </x:c>
      <x:c r="B67" s="9" t="str">
        <x:v>SE-013</x:v>
      </x:c>
      <x:c r="C67" s="9" t="str">
        <x:v>languages</x:v>
      </x:c>
      <x:c r="D67" s="9" t="str">
        <x:v>SQL</x:v>
      </x:c>
      <x:c r="E67" s="17" t="str">
        <x:v>Unclear / not classified</x:v>
      </x:c>
      <x:c r="F67" s="17" t="str">
        <x:v>Skill not present in captured requirement context</x:v>
      </x:c>
    </x:row>
    <x:row r="68">
      <x:c r="A68" s="9" t="str">
        <x:v>SE</x:v>
      </x:c>
      <x:c r="B68" s="9" t="str">
        <x:v>SE-013</x:v>
      </x:c>
      <x:c r="C68" s="9" t="str">
        <x:v>languages</x:v>
      </x:c>
      <x:c r="D68" s="9" t="str">
        <x:v>HTML/CSS</x:v>
      </x:c>
      <x:c r="E68" s="17" t="str">
        <x:v>Unclear / not classified</x:v>
      </x:c>
      <x:c r="F68" s="17" t="str">
        <x:v>Skill not present in captured requirement context</x:v>
      </x:c>
    </x:row>
    <x:row r="69">
      <x:c r="A69" s="9" t="str">
        <x:v>SE</x:v>
      </x:c>
      <x:c r="B69" s="9" t="str">
        <x:v>SE-013</x:v>
      </x:c>
      <x:c r="C69" s="9" t="str">
        <x:v>languages</x:v>
      </x:c>
      <x:c r="D69" s="9" t="str">
        <x:v>JavaScript</x:v>
      </x:c>
      <x:c r="E69" s="17" t="str">
        <x:v>Unclear / not classified</x:v>
      </x:c>
      <x:c r="F69" s="17" t="str">
        <x:v>Skill not present in captured requirement context</x:v>
      </x:c>
    </x:row>
    <x:row r="70">
      <x:c r="A70" s="9" t="str">
        <x:v>SE</x:v>
      </x:c>
      <x:c r="B70" s="9" t="str">
        <x:v>SE-013</x:v>
      </x:c>
      <x:c r="C70" s="9" t="str">
        <x:v>languages</x:v>
      </x:c>
      <x:c r="D70" s="9" t="str">
        <x:v>TypeScript</x:v>
      </x:c>
      <x:c r="E70" s="17" t="str">
        <x:v>Unclear / not classified</x:v>
      </x:c>
      <x:c r="F70" s="17" t="str">
        <x:v>Skill not present in captured requirement context</x:v>
      </x:c>
    </x:row>
    <x:row r="71">
      <x:c r="A71" s="9" t="str">
        <x:v>SE</x:v>
      </x:c>
      <x:c r="B71" s="9" t="str">
        <x:v>SE-013</x:v>
      </x:c>
      <x:c r="C71" s="9" t="str">
        <x:v>frameworks</x:v>
      </x:c>
      <x:c r="D71" s="9" t="str">
        <x:v>Angular</x:v>
      </x:c>
      <x:c r="E71" s="17" t="str">
        <x:v>Unclear / not classified</x:v>
      </x:c>
      <x:c r="F71" s="17" t="str">
        <x:v>Skill not present in captured requirement context</x:v>
      </x:c>
    </x:row>
    <x:row r="72">
      <x:c r="A72" s="9" t="str">
        <x:v>SE</x:v>
      </x:c>
      <x:c r="B72" s="9" t="str">
        <x:v>SE-013</x:v>
      </x:c>
      <x:c r="C72" s="9" t="str">
        <x:v>frameworks</x:v>
      </x:c>
      <x:c r="D72" s="9" t="str">
        <x:v>.NET</x:v>
      </x:c>
      <x:c r="E72" s="17" t="str">
        <x:v>Unclear / not classified</x:v>
      </x:c>
      <x:c r="F72" s="17" t="str">
        <x:v>Skill not present in captured requirement context</x:v>
      </x:c>
    </x:row>
    <x:row r="73">
      <x:c r="A73" s="9" t="str">
        <x:v>SE</x:v>
      </x:c>
      <x:c r="B73" s="9" t="str">
        <x:v>SE-015</x:v>
      </x:c>
      <x:c r="C73" s="9" t="str">
        <x:v>languages</x:v>
      </x:c>
      <x:c r="D73" s="9" t="str">
        <x:v>JavaScript</x:v>
      </x:c>
      <x:c r="E73" s="17" t="str">
        <x:v>Unclear / not classified</x:v>
      </x:c>
      <x:c r="F73" s="17" t="str">
        <x:v>Skill not present in captured requirement context</x:v>
      </x:c>
    </x:row>
    <x:row r="74">
      <x:c r="A74" s="9" t="str">
        <x:v>SE</x:v>
      </x:c>
      <x:c r="B74" s="9" t="str">
        <x:v>SE-015</x:v>
      </x:c>
      <x:c r="C74" s="9" t="str">
        <x:v>languages</x:v>
      </x:c>
      <x:c r="D74" s="9" t="str">
        <x:v>C#</x:v>
      </x:c>
      <x:c r="E74" s="17" t="str">
        <x:v>Unclear / not classified</x:v>
      </x:c>
      <x:c r="F74" s="17" t="str">
        <x:v>Skill not present in captured requirement context</x:v>
      </x:c>
    </x:row>
    <x:row r="75">
      <x:c r="A75" s="9" t="str">
        <x:v>SE</x:v>
      </x:c>
      <x:c r="B75" s="9" t="str">
        <x:v>SE-015</x:v>
      </x:c>
      <x:c r="C75" s="9" t="str">
        <x:v>languages</x:v>
      </x:c>
      <x:c r="D75" s="9" t="str">
        <x:v>Python</x:v>
      </x:c>
      <x:c r="E75" s="17" t="str">
        <x:v>Unclear / not classified</x:v>
      </x:c>
      <x:c r="F75" s="17" t="str">
        <x:v>Skill not present in captured requirement context</x:v>
      </x:c>
    </x:row>
    <x:row r="76">
      <x:c r="A76" s="9" t="str">
        <x:v>SE</x:v>
      </x:c>
      <x:c r="B76" s="9" t="str">
        <x:v>SE-015</x:v>
      </x:c>
      <x:c r="C76" s="9" t="str">
        <x:v>languages</x:v>
      </x:c>
      <x:c r="D76" s="9" t="str">
        <x:v>SQL</x:v>
      </x:c>
      <x:c r="E76" s="17" t="str">
        <x:v>Unclear / not classified</x:v>
      </x:c>
      <x:c r="F76" s="17" t="str">
        <x:v>Skill not present in captured requirement context</x:v>
      </x:c>
    </x:row>
    <x:row r="77">
      <x:c r="A77" s="9" t="str">
        <x:v>SE</x:v>
      </x:c>
      <x:c r="B77" s="9" t="str">
        <x:v>SE-015</x:v>
      </x:c>
      <x:c r="C77" s="9" t="str">
        <x:v>frameworks</x:v>
      </x:c>
      <x:c r="D77" s="9" t="str">
        <x:v>.NET</x:v>
      </x:c>
      <x:c r="E77" s="17" t="str">
        <x:v>Unclear / not classified</x:v>
      </x:c>
      <x:c r="F77" s="17" t="str">
        <x:v>Skill not present in captured requirement context</x:v>
      </x:c>
    </x:row>
    <x:row r="78">
      <x:c r="A78" s="9" t="str">
        <x:v>SE</x:v>
      </x:c>
      <x:c r="B78" s="9" t="str">
        <x:v>SE-015</x:v>
      </x:c>
      <x:c r="C78" s="9" t="str">
        <x:v>frameworks</x:v>
      </x:c>
      <x:c r="D78" s="9" t="str">
        <x:v>React</x:v>
      </x:c>
      <x:c r="E78" s="17" t="str">
        <x:v>Unclear / not classified</x:v>
      </x:c>
      <x:c r="F78" s="17" t="str">
        <x:v>Skill not present in captured requirement context</x:v>
      </x:c>
    </x:row>
    <x:row r="79">
      <x:c r="A79" s="9" t="str">
        <x:v>SE</x:v>
      </x:c>
      <x:c r="B79" s="9" t="str">
        <x:v>SE-015</x:v>
      </x:c>
      <x:c r="C79" s="9" t="str">
        <x:v>tools</x:v>
      </x:c>
      <x:c r="D79" s="9" t="str">
        <x:v>Azure</x:v>
      </x:c>
      <x:c r="E79" s="17" t="str">
        <x:v>Unclear / not classified</x:v>
      </x:c>
      <x:c r="F79" s="17" t="str">
        <x:v>Skill not present in captured requirement context</x:v>
      </x:c>
    </x:row>
    <x:row r="80">
      <x:c r="A80" s="9" t="str">
        <x:v>SE</x:v>
      </x:c>
      <x:c r="B80" s="9" t="str">
        <x:v>SE-015</x:v>
      </x:c>
      <x:c r="C80" s="9" t="str">
        <x:v>tools</x:v>
      </x:c>
      <x:c r="D80" s="9" t="str">
        <x:v>MySQL</x:v>
      </x:c>
      <x:c r="E80" s="17" t="str">
        <x:v>Unclear / not classified</x:v>
      </x:c>
      <x:c r="F80" s="17" t="str">
        <x:v>Skill not present in captured requirement context</x:v>
      </x:c>
    </x:row>
    <x:row r="81">
      <x:c r="A81" s="9" t="str">
        <x:v>SE</x:v>
      </x:c>
      <x:c r="B81" s="9" t="str">
        <x:v>SE-016</x:v>
      </x:c>
      <x:c r="C81" s="9" t="str">
        <x:v>languages</x:v>
      </x:c>
      <x:c r="D81" s="9" t="str">
        <x:v>SQL</x:v>
      </x:c>
      <x:c r="E81" s="17" t="str">
        <x:v>Unclear / not classified</x:v>
      </x:c>
      <x:c r="F81" s="17" t="str">
        <x:v>Skill not present in captured requirement context</x:v>
      </x:c>
    </x:row>
    <x:row r="82">
      <x:c r="A82" s="9" t="str">
        <x:v>SE</x:v>
      </x:c>
      <x:c r="B82" s="9" t="str">
        <x:v>SE-016</x:v>
      </x:c>
      <x:c r="C82" s="9" t="str">
        <x:v>languages</x:v>
      </x:c>
      <x:c r="D82" s="9" t="str">
        <x:v>Java</x:v>
      </x:c>
      <x:c r="E82" s="17" t="str">
        <x:v>Unclear / not classified</x:v>
      </x:c>
      <x:c r="F82" s="17" t="str">
        <x:v>Skill not present in captured requirement context</x:v>
      </x:c>
    </x:row>
    <x:row r="83">
      <x:c r="A83" s="9" t="str">
        <x:v>SE</x:v>
      </x:c>
      <x:c r="B83" s="9" t="str">
        <x:v>SE-018</x:v>
      </x:c>
      <x:c r="C83" s="9" t="str">
        <x:v>languages</x:v>
      </x:c>
      <x:c r="D83" s="9" t="str">
        <x:v>HTML/CSS</x:v>
      </x:c>
      <x:c r="E83" s="17" t="str">
        <x:v>Required</x:v>
      </x:c>
      <x:c r="F83" s="17" t="str">
        <x:v>Experience with HTML, CSS, JavaScript, and basic web development frameworks.</x:v>
      </x:c>
    </x:row>
    <x:row r="84">
      <x:c r="A84" s="9" t="str">
        <x:v>SE</x:v>
      </x:c>
      <x:c r="B84" s="9" t="str">
        <x:v>SE-018</x:v>
      </x:c>
      <x:c r="C84" s="9" t="str">
        <x:v>languages</x:v>
      </x:c>
      <x:c r="D84" s="9" t="str">
        <x:v>JavaScript</x:v>
      </x:c>
      <x:c r="E84" s="17" t="str">
        <x:v>Required</x:v>
      </x:c>
      <x:c r="F84" s="17" t="str">
        <x:v>Experience with HTML, CSS, JavaScript, and basic web development frameworks.</x:v>
      </x:c>
    </x:row>
    <x:row r="85">
      <x:c r="A85" s="9" t="str">
        <x:v>SE</x:v>
      </x:c>
      <x:c r="B85" s="9" t="str">
        <x:v>SE-020</x:v>
      </x:c>
      <x:c r="C85" s="9" t="str">
        <x:v>languages</x:v>
      </x:c>
      <x:c r="D85" s="9" t="str">
        <x:v>SQL</x:v>
      </x:c>
      <x:c r="E85" s="17" t="str">
        <x:v>Unclear / not classified</x:v>
      </x:c>
      <x:c r="F85" s="17" t="str">
        <x:v>Skill not present in captured requirement context</x:v>
      </x:c>
    </x:row>
    <x:row r="86">
      <x:c r="A86" s="9" t="str">
        <x:v>SE</x:v>
      </x:c>
      <x:c r="B86" s="9" t="str">
        <x:v>SE-020</x:v>
      </x:c>
      <x:c r="C86" s="9" t="str">
        <x:v>languages</x:v>
      </x:c>
      <x:c r="D86" s="9" t="str">
        <x:v>Java</x:v>
      </x:c>
      <x:c r="E86" s="17" t="str">
        <x:v>Unclear / not classified</x:v>
      </x:c>
      <x:c r="F86" s="17" t="str">
        <x:v>Skill not present in captured requirement context</x:v>
      </x:c>
    </x:row>
    <x:row r="87">
      <x:c r="A87" s="9" t="str">
        <x:v>SE</x:v>
      </x:c>
      <x:c r="B87" s="9" t="str">
        <x:v>SE-020</x:v>
      </x:c>
      <x:c r="C87" s="9" t="str">
        <x:v>frameworks</x:v>
      </x:c>
      <x:c r="D87" s="9" t="str">
        <x:v>Spring</x:v>
      </x:c>
      <x:c r="E87" s="17" t="str">
        <x:v>Unclear / not classified</x:v>
      </x:c>
      <x:c r="F87" s="17" t="str">
        <x:v>Skill not present in captured requirement context</x:v>
      </x:c>
    </x:row>
    <x:row r="88">
      <x:c r="A88" s="9" t="str">
        <x:v>SE</x:v>
      </x:c>
      <x:c r="B88" s="9" t="str">
        <x:v>SE-020</x:v>
      </x:c>
      <x:c r="C88" s="9" t="str">
        <x:v>tools</x:v>
      </x:c>
      <x:c r="D88" s="9" t="str">
        <x:v>AWS</x:v>
      </x:c>
      <x:c r="E88" s="17" t="str">
        <x:v>Unclear / not classified</x:v>
      </x:c>
      <x:c r="F88" s="17" t="str">
        <x:v>Skill not present in captured requirement context</x:v>
      </x:c>
    </x:row>
    <x:row r="89">
      <x:c r="A89" s="9" t="str">
        <x:v>SE</x:v>
      </x:c>
      <x:c r="B89" s="9" t="str">
        <x:v>SE-020</x:v>
      </x:c>
      <x:c r="C89" s="9" t="str">
        <x:v>tools</x:v>
      </x:c>
      <x:c r="D89" s="9" t="str">
        <x:v>Postman</x:v>
      </x:c>
      <x:c r="E89" s="17" t="str">
        <x:v>Unclear / not classified</x:v>
      </x:c>
      <x:c r="F89" s="17" t="str">
        <x:v>Skill not present in captured requirement context</x:v>
      </x:c>
    </x:row>
    <x:row r="90">
      <x:c r="A90" s="9" t="str">
        <x:v>SE</x:v>
      </x:c>
      <x:c r="B90" s="9" t="str">
        <x:v>SE-020</x:v>
      </x:c>
      <x:c r="C90" s="9" t="str">
        <x:v>tools</x:v>
      </x:c>
      <x:c r="D90" s="9" t="str">
        <x:v>Git/GitHub</x:v>
      </x:c>
      <x:c r="E90" s="17" t="str">
        <x:v>Unclear / not classified</x:v>
      </x:c>
      <x:c r="F90" s="17" t="str">
        <x:v>Skill not present in captured requirement context</x:v>
      </x:c>
    </x:row>
    <x:row r="91">
      <x:c r="A91" s="9" t="str">
        <x:v>SE</x:v>
      </x:c>
      <x:c r="B91" s="9" t="str">
        <x:v>SE-021</x:v>
      </x:c>
      <x:c r="C91" s="9" t="str">
        <x:v>languages</x:v>
      </x:c>
      <x:c r="D91" s="9" t="str">
        <x:v>Java</x:v>
      </x:c>
      <x:c r="E91" s="17" t="str">
        <x:v>Unclear / not classified</x:v>
      </x:c>
      <x:c r="F91" s="17" t="str">
        <x:v>The successful candidate will have at least 2 years of Java development experience, along with a relevant degree in Computer Science, Software Engineering, or a related</x:v>
      </x:c>
    </x:row>
    <x:row r="92">
      <x:c r="A92" s="9" t="str">
        <x:v>SE</x:v>
      </x:c>
      <x:c r="B92" s="9" t="str">
        <x:v>SE-021</x:v>
      </x:c>
      <x:c r="C92" s="9" t="str">
        <x:v>languages</x:v>
      </x:c>
      <x:c r="D92" s="9" t="str">
        <x:v>HTML/CSS</x:v>
      </x:c>
      <x:c r="E92" s="17" t="str">
        <x:v>Unclear / not classified</x:v>
      </x:c>
      <x:c r="F92" s="17" t="str">
        <x:v>Skill not present in captured requirement context</x:v>
      </x:c>
    </x:row>
    <x:row r="93">
      <x:c r="A93" s="9" t="str">
        <x:v>SE</x:v>
      </x:c>
      <x:c r="B93" s="9" t="str">
        <x:v>SE-021</x:v>
      </x:c>
      <x:c r="C93" s="9" t="str">
        <x:v>languages</x:v>
      </x:c>
      <x:c r="D93" s="9" t="str">
        <x:v>JavaScript</x:v>
      </x:c>
      <x:c r="E93" s="17" t="str">
        <x:v>Unclear / not classified</x:v>
      </x:c>
      <x:c r="F93" s="17" t="str">
        <x:v>Skill not present in captured requirement context</x:v>
      </x:c>
    </x:row>
    <x:row r="94">
      <x:c r="A94" s="9" t="str">
        <x:v>SE</x:v>
      </x:c>
      <x:c r="B94" s="9" t="str">
        <x:v>SE-021</x:v>
      </x:c>
      <x:c r="C94" s="9" t="str">
        <x:v>languages</x:v>
      </x:c>
      <x:c r="D94" s="9" t="str">
        <x:v>SQL</x:v>
      </x:c>
      <x:c r="E94" s="17" t="str">
        <x:v>Unclear / not classified</x:v>
      </x:c>
      <x:c r="F94" s="17" t="str">
        <x:v>Skill not present in captured requirement context</x:v>
      </x:c>
    </x:row>
    <x:row r="95">
      <x:c r="A95" s="9" t="str">
        <x:v>SE</x:v>
      </x:c>
      <x:c r="B95" s="9" t="str">
        <x:v>SE-021</x:v>
      </x:c>
      <x:c r="C95" s="9" t="str">
        <x:v>frameworks</x:v>
      </x:c>
      <x:c r="D95" s="9" t="str">
        <x:v>Hibernate</x:v>
      </x:c>
      <x:c r="E95" s="17" t="str">
        <x:v>Unclear / not classified</x:v>
      </x:c>
      <x:c r="F95" s="17" t="str">
        <x:v>Skill not present in captured requirement context</x:v>
      </x:c>
    </x:row>
    <x:row r="96">
      <x:c r="A96" s="9" t="str">
        <x:v>SE</x:v>
      </x:c>
      <x:c r="B96" s="9" t="str">
        <x:v>SE-021</x:v>
      </x:c>
      <x:c r="C96" s="9" t="str">
        <x:v>tools</x:v>
      </x:c>
      <x:c r="D96" s="9" t="str">
        <x:v>MySQL</x:v>
      </x:c>
      <x:c r="E96" s="17" t="str">
        <x:v>Unclear / not classified</x:v>
      </x:c>
      <x:c r="F96" s="17" t="str">
        <x:v>Skill not present in captured requirement context</x:v>
      </x:c>
    </x:row>
    <x:row r="97">
      <x:c r="A97" s="9" t="str">
        <x:v>SE</x:v>
      </x:c>
      <x:c r="B97" s="9" t="str">
        <x:v>SE-021</x:v>
      </x:c>
      <x:c r="C97" s="9" t="str">
        <x:v>tools</x:v>
      </x:c>
      <x:c r="D97" s="9" t="str">
        <x:v>SQL Server</x:v>
      </x:c>
      <x:c r="E97" s="17" t="str">
        <x:v>Unclear / not classified</x:v>
      </x:c>
      <x:c r="F97" s="17" t="str">
        <x:v>Skill not present in captured requirement context</x:v>
      </x:c>
    </x:row>
    <x:row r="98">
      <x:c r="A98" s="9" t="str">
        <x:v>SE</x:v>
      </x:c>
      <x:c r="B98" s="9" t="str">
        <x:v>SE-021</x:v>
      </x:c>
      <x:c r="C98" s="9" t="str">
        <x:v>tools</x:v>
      </x:c>
      <x:c r="D98" s="9" t="str">
        <x:v>Git/GitHub</x:v>
      </x:c>
      <x:c r="E98" s="17" t="str">
        <x:v>Unclear / not classified</x:v>
      </x:c>
      <x:c r="F98" s="17" t="str">
        <x:v>Skill not present in captured requirement context</x:v>
      </x:c>
    </x:row>
    <x:row r="99">
      <x:c r="A99" s="9" t="str">
        <x:v>SE</x:v>
      </x:c>
      <x:c r="B99" s="9" t="str">
        <x:v>SE-021</x:v>
      </x:c>
      <x:c r="C99" s="9" t="str">
        <x:v>tools</x:v>
      </x:c>
      <x:c r="D99" s="9" t="str">
        <x:v>Linux</x:v>
      </x:c>
      <x:c r="E99" s="17" t="str">
        <x:v>Unclear / not classified</x:v>
      </x:c>
      <x:c r="F99" s="17" t="str">
        <x:v>Skill not present in captured requirement context</x:v>
      </x:c>
    </x:row>
    <x:row r="100">
      <x:c r="A100" s="9" t="str">
        <x:v>SE</x:v>
      </x:c>
      <x:c r="B100" s="9" t="str">
        <x:v>SE-022</x:v>
      </x:c>
      <x:c r="C100" s="9" t="str">
        <x:v>languages</x:v>
      </x:c>
      <x:c r="D100" s="9" t="str">
        <x:v>C++</x:v>
      </x:c>
      <x:c r="E100" s="17" t="str">
        <x:v>Required</x:v>
      </x:c>
      <x:c r="F100" s="17" t="str">
        <x:v>thin the top 10% of your class. You will also need ±2 years’ experience in a similar role with proficiency in C++, C#, Java, Python, Kotlin, RESTful APIs &amp; MVC pattern.</x:v>
      </x:c>
    </x:row>
    <x:row r="101">
      <x:c r="A101" s="9" t="str">
        <x:v>SE</x:v>
      </x:c>
      <x:c r="B101" s="9" t="str">
        <x:v>SE-022</x:v>
      </x:c>
      <x:c r="C101" s="9" t="str">
        <x:v>languages</x:v>
      </x:c>
      <x:c r="D101" s="9" t="str">
        <x:v>C#</x:v>
      </x:c>
      <x:c r="E101" s="17" t="str">
        <x:v>Required</x:v>
      </x:c>
      <x:c r="F101" s="17" t="str">
        <x:v>the top 10% of your class. You will also need ±2 years’ experience in a similar role with proficiency in C++, C#, Java, Python, Kotlin, RESTful APIs &amp; MVC pattern.</x:v>
      </x:c>
    </x:row>
    <x:row r="102">
      <x:c r="A102" s="9" t="str">
        <x:v>SE</x:v>
      </x:c>
      <x:c r="B102" s="9" t="str">
        <x:v>SE-022</x:v>
      </x:c>
      <x:c r="C102" s="9" t="str">
        <x:v>languages</x:v>
      </x:c>
      <x:c r="D102" s="9" t="str">
        <x:v>Java</x:v>
      </x:c>
      <x:c r="E102" s="17" t="str">
        <x:v>Required</x:v>
      </x:c>
      <x:c r="F102" s="17" t="str">
        <x:v>top 10% of your class. You will also need ±2 years’ experience in a similar role with proficiency in C++, C#, Java, Python, Kotlin, RESTful APIs &amp; MVC pattern.</x:v>
      </x:c>
    </x:row>
    <x:row r="103">
      <x:c r="A103" s="9" t="str">
        <x:v>SE</x:v>
      </x:c>
      <x:c r="B103" s="9" t="str">
        <x:v>SE-022</x:v>
      </x:c>
      <x:c r="C103" s="9" t="str">
        <x:v>languages</x:v>
      </x:c>
      <x:c r="D103" s="9" t="str">
        <x:v>Python</x:v>
      </x:c>
      <x:c r="E103" s="17" t="str">
        <x:v>Required</x:v>
      </x:c>
      <x:c r="F103" s="17" t="str">
        <x:v>% of your class. You will also need ±2 years’ experience in a similar role with proficiency in C++, C#, Java, Python, Kotlin, RESTful APIs &amp; MVC pattern.</x:v>
      </x:c>
    </x:row>
    <x:row r="104">
      <x:c r="A104" s="9" t="str">
        <x:v>SE</x:v>
      </x:c>
      <x:c r="B104" s="9" t="str">
        <x:v>SE-022</x:v>
      </x:c>
      <x:c r="C104" s="9" t="str">
        <x:v>languages</x:v>
      </x:c>
      <x:c r="D104" s="9" t="str">
        <x:v>Kotlin</x:v>
      </x:c>
      <x:c r="E104" s="17" t="str">
        <x:v>Required</x:v>
      </x:c>
      <x:c r="F104" s="17" t="str">
        <x:v>r class. You will also need ±2 years’ experience in a similar role with proficiency in C++, C#, Java, Python, Kotlin, RESTful APIs &amp; MVC pattern.</x:v>
      </x:c>
    </x:row>
    <x:row r="105">
      <x:c r="A105" s="9" t="str">
        <x:v>SE</x:v>
      </x:c>
      <x:c r="B105" s="9" t="str">
        <x:v>SE-022</x:v>
      </x:c>
      <x:c r="C105" s="9" t="str">
        <x:v>languages</x:v>
      </x:c>
      <x:c r="D105" s="9" t="str">
        <x:v>JavaScript</x:v>
      </x:c>
      <x:c r="E105" s="17" t="str">
        <x:v>Unclear / not classified</x:v>
      </x:c>
      <x:c r="F105" s="17" t="str">
        <x:v>Skill not present in captured requirement context</x:v>
      </x:c>
    </x:row>
    <x:row r="106">
      <x:c r="A106" s="9" t="str">
        <x:v>SE</x:v>
      </x:c>
      <x:c r="B106" s="9" t="str">
        <x:v>SE-022</x:v>
      </x:c>
      <x:c r="C106" s="9" t="str">
        <x:v>languages</x:v>
      </x:c>
      <x:c r="D106" s="9" t="str">
        <x:v>SQL</x:v>
      </x:c>
      <x:c r="E106" s="17" t="str">
        <x:v>Unclear / not classified</x:v>
      </x:c>
      <x:c r="F106" s="17" t="str">
        <x:v>Skill not present in captured requirement context</x:v>
      </x:c>
    </x:row>
    <x:row r="107">
      <x:c r="A107" s="9" t="str">
        <x:v>SE</x:v>
      </x:c>
      <x:c r="B107" s="9" t="str">
        <x:v>SE-022</x:v>
      </x:c>
      <x:c r="C107" s="9" t="str">
        <x:v>frameworks</x:v>
      </x:c>
      <x:c r="D107" s="9" t="str">
        <x:v>.NET</x:v>
      </x:c>
      <x:c r="E107" s="17" t="str">
        <x:v>Unclear / not classified</x:v>
      </x:c>
      <x:c r="F107" s="17" t="str">
        <x:v>Skill not present in captured requirement context</x:v>
      </x:c>
    </x:row>
    <x:row r="108">
      <x:c r="A108" s="9" t="str">
        <x:v>SE</x:v>
      </x:c>
      <x:c r="B108" s="9" t="str">
        <x:v>SE-022</x:v>
      </x:c>
      <x:c r="C108" s="9" t="str">
        <x:v>frameworks</x:v>
      </x:c>
      <x:c r="D108" s="9" t="str">
        <x:v>React</x:v>
      </x:c>
      <x:c r="E108" s="17" t="str">
        <x:v>Unclear / not classified</x:v>
      </x:c>
      <x:c r="F108" s="17" t="str">
        <x:v>Skill not present in captured requirement context</x:v>
      </x:c>
    </x:row>
    <x:row r="109">
      <x:c r="A109" s="9" t="str">
        <x:v>SE</x:v>
      </x:c>
      <x:c r="B109" s="9" t="str">
        <x:v>SE-022</x:v>
      </x:c>
      <x:c r="C109" s="9" t="str">
        <x:v>tools</x:v>
      </x:c>
      <x:c r="D109" s="9" t="str">
        <x:v>Git/GitHub</x:v>
      </x:c>
      <x:c r="E109" s="17" t="str">
        <x:v>Unclear / not classified</x:v>
      </x:c>
      <x:c r="F109" s="17" t="str">
        <x:v>Skill not present in captured requirement context</x:v>
      </x:c>
    </x:row>
    <x:row r="110">
      <x:c r="A110" s="9" t="str">
        <x:v>SE</x:v>
      </x:c>
      <x:c r="B110" s="9" t="str">
        <x:v>SE-022</x:v>
      </x:c>
      <x:c r="C110" s="9" t="str">
        <x:v>tools</x:v>
      </x:c>
      <x:c r="D110" s="9" t="str">
        <x:v>AWS</x:v>
      </x:c>
      <x:c r="E110" s="17" t="str">
        <x:v>Unclear / not classified</x:v>
      </x:c>
      <x:c r="F110" s="17" t="str">
        <x:v>Skill not present in captured requirement context</x:v>
      </x:c>
    </x:row>
    <x:row r="111">
      <x:c r="A111" s="9" t="str">
        <x:v>SE</x:v>
      </x:c>
      <x:c r="B111" s="9" t="str">
        <x:v>SE-024</x:v>
      </x:c>
      <x:c r="C111" s="9" t="str">
        <x:v>languages</x:v>
      </x:c>
      <x:c r="D111" s="9" t="str">
        <x:v>C#</x:v>
      </x:c>
      <x:c r="E111" s="17" t="str">
        <x:v>Required</x:v>
      </x:c>
      <x:c r="F111" s="17" t="str">
        <x:v>e, Software Engineering, or a related field (or equivalent practical experience) 0–2 years of experience with C#, .NET, and SQL Server (academic projects, internships, or personal projects count) Exposure to full-stack dev</x:v>
      </x:c>
    </x:row>
    <x:row r="112">
      <x:c r="A112" s="9" t="str">
        <x:v>SE</x:v>
      </x:c>
      <x:c r="B112" s="9" t="str">
        <x:v>SE-024</x:v>
      </x:c>
      <x:c r="C112" s="9" t="str">
        <x:v>languages</x:v>
      </x:c>
      <x:c r="D112" s="9" t="str">
        <x:v>SQL</x:v>
      </x:c>
      <x:c r="E112" s="17" t="str">
        <x:v>Required</x:v>
      </x:c>
      <x:c r="F112" s="17" t="str">
        <x:v>gineering, or a related field (or equivalent practical experience) 0–2 years of experience with C#, .NET, and SQL Server (academic projects, internships, or personal projects count) Exposure to full-stack development Workin</x:v>
      </x:c>
    </x:row>
    <x:row r="113">
      <x:c r="A113" s="9" t="str">
        <x:v>SE</x:v>
      </x:c>
      <x:c r="B113" s="9" t="str">
        <x:v>SE-024</x:v>
      </x:c>
      <x:c r="C113" s="9" t="str">
        <x:v>languages</x:v>
      </x:c>
      <x:c r="D113" s="9" t="str">
        <x:v>HTML/CSS</x:v>
      </x:c>
      <x:c r="E113" s="17" t="str">
        <x:v>Required</x:v>
      </x:c>
      <x:c r="F113" s="17" t="str">
        <x:v>ic projects, internships, or personal projects count) Exposure to full-stack development Working knowledge of HTML5, CSS3, and JavaScript Familiarity with Git Eagerness to learn Agile ways of working Nice To Have</x:v>
      </x:c>
    </x:row>
    <x:row r="114">
      <x:c r="A114" s="9" t="str">
        <x:v>SE</x:v>
      </x:c>
      <x:c r="B114" s="9" t="str">
        <x:v>SE-024</x:v>
      </x:c>
      <x:c r="C114" s="9" t="str">
        <x:v>languages</x:v>
      </x:c>
      <x:c r="D114" s="9" t="str">
        <x:v>JavaScript</x:v>
      </x:c>
      <x:c r="E114" s="17" t="str">
        <x:v>Required</x:v>
      </x:c>
      <x:c r="F114" s="17" t="str">
        <x:v>rnships, or personal projects count) Exposure to full-stack development Working knowledge of HTML5, CSS3, and JavaScript Familiarity with Git Eagerness to learn Agile ways of working Nice To Have</x:v>
      </x:c>
    </x:row>
    <x:row r="115">
      <x:c r="A115" s="9" t="str">
        <x:v>SE</x:v>
      </x:c>
      <x:c r="B115" s="9" t="str">
        <x:v>SE-024</x:v>
      </x:c>
      <x:c r="C115" s="9" t="str">
        <x:v>frameworks</x:v>
      </x:c>
      <x:c r="D115" s="9" t="str">
        <x:v>.NET</x:v>
      </x:c>
      <x:c r="E115" s="17" t="str">
        <x:v>Required</x:v>
      </x:c>
      <x:c r="F115" s="17" t="str">
        <x:v>oftware Engineering, or a related field (or equivalent practical experience) 0–2 years of experience with C#, .NET, and SQL Server (academic projects, internships, or personal projects count) Exposure to full-stack developme</x:v>
      </x:c>
    </x:row>
    <x:row r="116">
      <x:c r="A116" s="9" t="str">
        <x:v>SE</x:v>
      </x:c>
      <x:c r="B116" s="9" t="str">
        <x:v>SE-024</x:v>
      </x:c>
      <x:c r="C116" s="9" t="str">
        <x:v>tools</x:v>
      </x:c>
      <x:c r="D116" s="9" t="str">
        <x:v>SQL Server</x:v>
      </x:c>
      <x:c r="E116" s="17" t="str">
        <x:v>Required</x:v>
      </x:c>
      <x:c r="F116" s="17" t="str">
        <x:v>gineering, or a related field (or equivalent practical experience) 0–2 years of experience with C#, .NET, and SQL Server (academic projects, internships, or personal projects count) Exposure to full-stack development Working knowl</x:v>
      </x:c>
    </x:row>
    <x:row r="117">
      <x:c r="A117" s="9" t="str">
        <x:v>SE</x:v>
      </x:c>
      <x:c r="B117" s="9" t="str">
        <x:v>SE-024</x:v>
      </x:c>
      <x:c r="C117" s="9" t="str">
        <x:v>tools</x:v>
      </x:c>
      <x:c r="D117" s="9" t="str">
        <x:v>Git/GitHub</x:v>
      </x:c>
      <x:c r="E117" s="17" t="str">
        <x:v>Required</x:v>
      </x:c>
      <x:c r="F117" s="17" t="str">
        <x:v>s count) Exposure to full-stack development Working knowledge of HTML5, CSS3, and JavaScript Familiarity with Git Eagerness to learn Agile ways of working Nice To Have</x:v>
      </x:c>
    </x:row>
    <x:row r="118">
      <x:c r="A118" s="9" t="str">
        <x:v>SE</x:v>
      </x:c>
      <x:c r="B118" s="9" t="str">
        <x:v>SE-024</x:v>
      </x:c>
      <x:c r="C118" s="9" t="str">
        <x:v>tools</x:v>
      </x:c>
      <x:c r="D118" s="9" t="str">
        <x:v>Azure</x:v>
      </x:c>
      <x:c r="E118" s="17" t="str">
        <x:v>Unclear / not classified</x:v>
      </x:c>
      <x:c r="F118" s="17" t="str">
        <x:v>Skill not present in captured requirement context</x:v>
      </x:c>
    </x:row>
    <x:row r="119">
      <x:c r="A119" s="9" t="str">
        <x:v>SE</x:v>
      </x:c>
      <x:c r="B119" s="9" t="str">
        <x:v>SE-025</x:v>
      </x:c>
      <x:c r="C119" s="9" t="str">
        <x:v>languages</x:v>
      </x:c>
      <x:c r="D119" s="9" t="str">
        <x:v>C#</x:v>
      </x:c>
      <x:c r="E119" s="17" t="str">
        <x:v>Required</x:v>
      </x:c>
      <x:c r="F119" s="17" t="str">
        <x:v>e, Software Engineering, or a related field (or equivalent practical experience) 0–2 years of experience with C#, .NET, and SQL Server (academic projects, internships, or personal projects count) Exposure to full-stack dev</x:v>
      </x:c>
    </x:row>
    <x:row r="120">
      <x:c r="A120" s="9" t="str">
        <x:v>SE</x:v>
      </x:c>
      <x:c r="B120" s="9" t="str">
        <x:v>SE-025</x:v>
      </x:c>
      <x:c r="C120" s="9" t="str">
        <x:v>languages</x:v>
      </x:c>
      <x:c r="D120" s="9" t="str">
        <x:v>SQL</x:v>
      </x:c>
      <x:c r="E120" s="17" t="str">
        <x:v>Required</x:v>
      </x:c>
      <x:c r="F120" s="17" t="str">
        <x:v>gineering, or a related field (or equivalent practical experience) 0–2 years of experience with C#, .NET, and SQL Server (academic projects, internships, or personal projects count) Exposure to full-stack development Workin</x:v>
      </x:c>
    </x:row>
    <x:row r="121">
      <x:c r="A121" s="9" t="str">
        <x:v>SE</x:v>
      </x:c>
      <x:c r="B121" s="9" t="str">
        <x:v>SE-025</x:v>
      </x:c>
      <x:c r="C121" s="9" t="str">
        <x:v>languages</x:v>
      </x:c>
      <x:c r="D121" s="9" t="str">
        <x:v>HTML/CSS</x:v>
      </x:c>
      <x:c r="E121" s="17" t="str">
        <x:v>Required</x:v>
      </x:c>
      <x:c r="F121" s="17" t="str">
        <x:v>ic projects, internships, or personal projects count) Exposure to full-stack development Working knowledge of HTML5, CSS3, and JavaScript Familiarity with Git Eagerness to learn Agile ways of working Nice To Have</x:v>
      </x:c>
    </x:row>
    <x:row r="122">
      <x:c r="A122" s="9" t="str">
        <x:v>SE</x:v>
      </x:c>
      <x:c r="B122" s="9" t="str">
        <x:v>SE-025</x:v>
      </x:c>
      <x:c r="C122" s="9" t="str">
        <x:v>languages</x:v>
      </x:c>
      <x:c r="D122" s="9" t="str">
        <x:v>JavaScript</x:v>
      </x:c>
      <x:c r="E122" s="17" t="str">
        <x:v>Required</x:v>
      </x:c>
      <x:c r="F122" s="17" t="str">
        <x:v>rnships, or personal projects count) Exposure to full-stack development Working knowledge of HTML5, CSS3, and JavaScript Familiarity with Git Eagerness to learn Agile ways of working Nice To Have</x:v>
      </x:c>
    </x:row>
    <x:row r="123">
      <x:c r="A123" s="9" t="str">
        <x:v>SE</x:v>
      </x:c>
      <x:c r="B123" s="9" t="str">
        <x:v>SE-025</x:v>
      </x:c>
      <x:c r="C123" s="9" t="str">
        <x:v>frameworks</x:v>
      </x:c>
      <x:c r="D123" s="9" t="str">
        <x:v>.NET</x:v>
      </x:c>
      <x:c r="E123" s="17" t="str">
        <x:v>Required</x:v>
      </x:c>
      <x:c r="F123" s="17" t="str">
        <x:v>oftware Engineering, or a related field (or equivalent practical experience) 0–2 years of experience with C#, .NET, and SQL Server (academic projects, internships, or personal projects count) Exposure to full-stack developme</x:v>
      </x:c>
    </x:row>
    <x:row r="124">
      <x:c r="A124" s="9" t="str">
        <x:v>SE</x:v>
      </x:c>
      <x:c r="B124" s="9" t="str">
        <x:v>SE-025</x:v>
      </x:c>
      <x:c r="C124" s="9" t="str">
        <x:v>tools</x:v>
      </x:c>
      <x:c r="D124" s="9" t="str">
        <x:v>SQL Server</x:v>
      </x:c>
      <x:c r="E124" s="17" t="str">
        <x:v>Required</x:v>
      </x:c>
      <x:c r="F124" s="17" t="str">
        <x:v>gineering, or a related field (or equivalent practical experience) 0–2 years of experience with C#, .NET, and SQL Server (academic projects, internships, or personal projects count) Exposure to full-stack development Working knowl</x:v>
      </x:c>
    </x:row>
    <x:row r="125">
      <x:c r="A125" s="9" t="str">
        <x:v>SE</x:v>
      </x:c>
      <x:c r="B125" s="9" t="str">
        <x:v>SE-025</x:v>
      </x:c>
      <x:c r="C125" s="9" t="str">
        <x:v>tools</x:v>
      </x:c>
      <x:c r="D125" s="9" t="str">
        <x:v>Git/GitHub</x:v>
      </x:c>
      <x:c r="E125" s="17" t="str">
        <x:v>Required</x:v>
      </x:c>
      <x:c r="F125" s="17" t="str">
        <x:v>s count) Exposure to full-stack development Working knowledge of HTML5, CSS3, and JavaScript Familiarity with Git Eagerness to learn Agile ways of working Nice To Have</x:v>
      </x:c>
    </x:row>
    <x:row r="126">
      <x:c r="A126" s="9" t="str">
        <x:v>SE</x:v>
      </x:c>
      <x:c r="B126" s="9" t="str">
        <x:v>SE-025</x:v>
      </x:c>
      <x:c r="C126" s="9" t="str">
        <x:v>tools</x:v>
      </x:c>
      <x:c r="D126" s="9" t="str">
        <x:v>Azure</x:v>
      </x:c>
      <x:c r="E126" s="17" t="str">
        <x:v>Unclear / not classified</x:v>
      </x:c>
      <x:c r="F126" s="17" t="str">
        <x:v>Skill not present in captured requirement context</x:v>
      </x:c>
    </x:row>
    <x:row r="127">
      <x:c r="A127" s="9" t="str">
        <x:v>SE</x:v>
      </x:c>
      <x:c r="B127" s="9" t="str">
        <x:v>SE-027</x:v>
      </x:c>
      <x:c r="C127" s="9" t="str">
        <x:v>languages</x:v>
      </x:c>
      <x:c r="D127" s="9" t="str">
        <x:v>PHP</x:v>
      </x:c>
      <x:c r="E127" s="17" t="str">
        <x:v>Required</x:v>
      </x:c>
      <x:c r="F127" s="17" t="str">
        <x:v>the amount of experience Familiarity with server-side web development technologies Advanced experience using PHP to create and consume web services (SOAP, XML-RPC) Coding and maintaining web applications Proficient with Li</x:v>
      </x:c>
    </x:row>
    <x:row r="128">
      <x:c r="A128" s="9" t="str">
        <x:v>SE</x:v>
      </x:c>
      <x:c r="B128" s="9" t="str">
        <x:v>SE-027</x:v>
      </x:c>
      <x:c r="C128" s="9" t="str">
        <x:v>languages</x:v>
      </x:c>
      <x:c r="D128" s="9" t="str">
        <x:v>SQL</x:v>
      </x:c>
      <x:c r="E128" s="17" t="str">
        <x:v>Unclear / not classified</x:v>
      </x:c>
      <x:c r="F128" s="17" t="str">
        <x:v>interacting with MySQL database systems through an abstraction layer in addition to the ability to write raw SQL queries Passion to create high-quality and high-performing web pages Ability to estimate/forecast time to com</x:v>
      </x:c>
    </x:row>
    <x:row r="129">
      <x:c r="A129" s="9" t="str">
        <x:v>SE</x:v>
      </x:c>
      <x:c r="B129" s="9" t="str">
        <x:v>SE-027</x:v>
      </x:c>
      <x:c r="C129" s="9" t="str">
        <x:v>tools</x:v>
      </x:c>
      <x:c r="D129" s="9" t="str">
        <x:v>Linux</x:v>
      </x:c>
      <x:c r="E129" s="17" t="str">
        <x:v>Required</x:v>
      </x:c>
      <x:c r="F129" s="17" t="str">
        <x:v>HP to create and consume web services (SOAP, XML-RPC) Coding and maintaining web applications Proficient with Linux command line Proficient with debugger tools such as xDebug or Zend Debugger Experience with the GIT version c</x:v>
      </x:c>
    </x:row>
    <x:row r="130">
      <x:c r="A130" s="9" t="str">
        <x:v>SE</x:v>
      </x:c>
      <x:c r="B130" s="9" t="str">
        <x:v>SE-027</x:v>
      </x:c>
      <x:c r="C130" s="9" t="str">
        <x:v>tools</x:v>
      </x:c>
      <x:c r="D130" s="9" t="str">
        <x:v>Git/GitHub</x:v>
      </x:c>
      <x:c r="E130" s="17" t="str">
        <x:v>Required</x:v>
      </x:c>
      <x:c r="F130" s="17" t="str">
        <x:v>nt with Linux command line Proficient with debugger tools such as xDebug or Zend Debugger Experience with the GIT version control system Understanding of database schema architecture Advanced object-oriented development ski</x:v>
      </x:c>
    </x:row>
    <x:row r="131">
      <x:c r="A131" s="9" t="str">
        <x:v>SE</x:v>
      </x:c>
      <x:c r="B131" s="9" t="str">
        <x:v>SE-027</x:v>
      </x:c>
      <x:c r="C131" s="9" t="str">
        <x:v>tools</x:v>
      </x:c>
      <x:c r="D131" s="9" t="str">
        <x:v>MySQL</x:v>
      </x:c>
      <x:c r="E131" s="17" t="str">
        <x:v>Unclear / not classified</x:v>
      </x:c>
      <x:c r="F131" s="17" t="str">
        <x:v>atabase schema architecture Advanced object-oriented development skills and solid experience interacting with MySQL database systems through an abstraction layer in addition to the ability to write raw SQL queries Passion to</x:v>
      </x:c>
    </x:row>
    <x:row r="132">
      <x:c r="A132" s="9" t="str">
        <x:v>SE</x:v>
      </x:c>
      <x:c r="B132" s="9" t="str">
        <x:v>SE-029</x:v>
      </x:c>
      <x:c r="C132" s="9" t="str">
        <x:v>languages</x:v>
      </x:c>
      <x:c r="D132" s="9" t="str">
        <x:v>JavaScript</x:v>
      </x:c>
      <x:c r="E132" s="17" t="str">
        <x:v>Required</x:v>
      </x:c>
      <x:c r="F132" s="17" t="str">
        <x:v>a software development team Modern SPA framework fluency — React, Angular, or Vue (React preferred) Advanced JavaScript / TypeScript skills (required) Solid client-side state management Design-system &amp; reusable component library</x:v>
      </x:c>
    </x:row>
    <x:row r="133">
      <x:c r="A133" s="9" t="str">
        <x:v>SE</x:v>
      </x:c>
      <x:c r="B133" s="9" t="str">
        <x:v>SE-029</x:v>
      </x:c>
      <x:c r="C133" s="9" t="str">
        <x:v>languages</x:v>
      </x:c>
      <x:c r="D133" s="9" t="str">
        <x:v>TypeScript</x:v>
      </x:c>
      <x:c r="E133" s="17" t="str">
        <x:v>Required</x:v>
      </x:c>
      <x:c r="F133" s="17" t="str">
        <x:v>evelopment team Modern SPA framework fluency — React, Angular, or Vue (React preferred) Advanced JavaScript / TypeScript skills (required) Solid client-side state management Design-system &amp; reusable component library know-how REST</x:v>
      </x:c>
    </x:row>
    <x:row r="134">
      <x:c r="A134" s="9" t="str">
        <x:v>SE</x:v>
      </x:c>
      <x:c r="B134" s="9" t="str">
        <x:v>SE-029</x:v>
      </x:c>
      <x:c r="C134" s="9" t="str">
        <x:v>frameworks</x:v>
      </x:c>
      <x:c r="D134" s="9" t="str">
        <x:v>React</x:v>
      </x:c>
      <x:c r="E134" s="17" t="str">
        <x:v>Preferred</x:v>
      </x:c>
      <x:c r="F134" s="17" t="str">
        <x:v>ents 2+ years experience working as a developer in a software development team Modern SPA framework fluency — React, Angular, or Vue (React preferred) Advanced JavaScript / TypeScript skills (required) Solid client-side state</x:v>
      </x:c>
    </x:row>
    <x:row r="135">
      <x:c r="A135" s="9" t="str">
        <x:v>SE</x:v>
      </x:c>
      <x:c r="B135" s="9" t="str">
        <x:v>SE-029</x:v>
      </x:c>
      <x:c r="C135" s="9" t="str">
        <x:v>frameworks</x:v>
      </x:c>
      <x:c r="D135" s="9" t="str">
        <x:v>Angular</x:v>
      </x:c>
      <x:c r="E135" s="17" t="str">
        <x:v>Required</x:v>
      </x:c>
      <x:c r="F135" s="17" t="str">
        <x:v>years experience working as a developer in a software development team Modern SPA framework fluency — React, Angular, or Vue (React preferred) Advanced JavaScript / TypeScript skills (required) Solid client-side state manageme</x:v>
      </x:c>
    </x:row>
    <x:row r="136">
      <x:c r="A136" s="9" t="str">
        <x:v>SE</x:v>
      </x:c>
      <x:c r="B136" s="9" t="str">
        <x:v>SE-029</x:v>
      </x:c>
      <x:c r="C136" s="9" t="str">
        <x:v>frameworks</x:v>
      </x:c>
      <x:c r="D136" s="9" t="str">
        <x:v>Vue</x:v>
      </x:c>
      <x:c r="E136" s="17" t="str">
        <x:v>Required</x:v>
      </x:c>
      <x:c r="F136" s="17" t="str">
        <x:v>ience working as a developer in a software development team Modern SPA framework fluency — React, Angular, or Vue (React preferred) Advanced JavaScript / TypeScript skills (required) Solid client-side state management Desig</x:v>
      </x:c>
    </x:row>
    <x:row r="137">
      <x:c r="A137" s="9" t="str">
        <x:v>SE</x:v>
      </x:c>
      <x:c r="B137" s="9" t="str">
        <x:v>SE-030</x:v>
      </x:c>
      <x:c r="C137" s="9" t="str">
        <x:v>languages</x:v>
      </x:c>
      <x:c r="D137" s="9" t="str">
        <x:v>HTML/CSS</x:v>
      </x:c>
      <x:c r="E137" s="17" t="str">
        <x:v>Unclear / not classified</x:v>
      </x:c>
      <x:c r="F137" s="17" t="str">
        <x:v>Skill not present in captured requirement context</x:v>
      </x:c>
    </x:row>
    <x:row r="138">
      <x:c r="A138" s="9" t="str">
        <x:v>SE</x:v>
      </x:c>
      <x:c r="B138" s="9" t="str">
        <x:v>SE-030</x:v>
      </x:c>
      <x:c r="C138" s="9" t="str">
        <x:v>languages</x:v>
      </x:c>
      <x:c r="D138" s="9" t="str">
        <x:v>JavaScript</x:v>
      </x:c>
      <x:c r="E138" s="17" t="str">
        <x:v>Unclear / not classified</x:v>
      </x:c>
      <x:c r="F138" s="17" t="str">
        <x:v>Skill not present in captured requirement context</x:v>
      </x:c>
    </x:row>
    <x:row r="139">
      <x:c r="A139" s="9" t="str">
        <x:v>SE</x:v>
      </x:c>
      <x:c r="B139" s="9" t="str">
        <x:v>SE-030</x:v>
      </x:c>
      <x:c r="C139" s="9" t="str">
        <x:v>frameworks</x:v>
      </x:c>
      <x:c r="D139" s="9" t="str">
        <x:v>Angular</x:v>
      </x:c>
      <x:c r="E139" s="17" t="str">
        <x:v>Unclear / not classified</x:v>
      </x:c>
      <x:c r="F139" s="17" t="str">
        <x:v>Skill not present in captured requirement context</x:v>
      </x:c>
    </x:row>
    <x:row r="140">
      <x:c r="A140" s="9" t="str">
        <x:v>SE</x:v>
      </x:c>
      <x:c r="B140" s="9" t="str">
        <x:v>SE-030</x:v>
      </x:c>
      <x:c r="C140" s="9" t="str">
        <x:v>frameworks</x:v>
      </x:c>
      <x:c r="D140" s="9" t="str">
        <x:v>React</x:v>
      </x:c>
      <x:c r="E140" s="17" t="str">
        <x:v>Unclear / not classified</x:v>
      </x:c>
      <x:c r="F140" s="17" t="str">
        <x:v>Skill not present in captured requirement context</x:v>
      </x:c>
    </x:row>
    <x:row r="141">
      <x:c r="A141" s="9" t="str">
        <x:v>DA</x:v>
      </x:c>
      <x:c r="B141" s="9" t="str">
        <x:v>DA-002</x:v>
      </x:c>
      <x:c r="C141" s="9" t="str">
        <x:v>core_skills</x:v>
      </x:c>
      <x:c r="D141" s="9" t="str">
        <x:v>SQL</x:v>
      </x:c>
      <x:c r="E141" s="17" t="str">
        <x:v>Unclear / not classified</x:v>
      </x:c>
      <x:c r="F141" s="17" t="str">
        <x:v>Skill not present in captured requirement context</x:v>
      </x:c>
    </x:row>
    <x:row r="142">
      <x:c r="A142" s="9" t="str">
        <x:v>DA</x:v>
      </x:c>
      <x:c r="B142" s="9" t="str">
        <x:v>DA-002</x:v>
      </x:c>
      <x:c r="C142" s="9" t="str">
        <x:v>core_skills</x:v>
      </x:c>
      <x:c r="D142" s="9" t="str">
        <x:v>Excel (advanced)</x:v>
      </x:c>
      <x:c r="E142" s="17" t="str">
        <x:v>Required</x:v>
      </x:c>
      <x:c r="F142" s="17" t="str">
        <x:v>Strong proficiency in Excel (vlookups, pivot tables, basic formulas).</x:v>
      </x:c>
    </x:row>
    <x:row r="143">
      <x:c r="A143" s="9" t="str">
        <x:v>DA</x:v>
      </x:c>
      <x:c r="B143" s="9" t="str">
        <x:v>DA-002</x:v>
      </x:c>
      <x:c r="C143" s="9" t="str">
        <x:v>core_skills</x:v>
      </x:c>
      <x:c r="D143" s="9" t="str">
        <x:v>Python</x:v>
      </x:c>
      <x:c r="E143" s="17" t="str">
        <x:v>Unclear / not classified</x:v>
      </x:c>
      <x:c r="F143" s="17" t="str">
        <x:v>Skill not present in captured requirement context</x:v>
      </x:c>
    </x:row>
    <x:row r="144">
      <x:c r="A144" s="9" t="str">
        <x:v>DA</x:v>
      </x:c>
      <x:c r="B144" s="9" t="str">
        <x:v>DA-002</x:v>
      </x:c>
      <x:c r="C144" s="9" t="str">
        <x:v>reporting_tools</x:v>
      </x:c>
      <x:c r="D144" s="9" t="str">
        <x:v>Excel (dashboards/pivot tables)</x:v>
      </x:c>
      <x:c r="E144" s="17" t="str">
        <x:v>Required</x:v>
      </x:c>
      <x:c r="F144" s="17" t="str">
        <x:v>Strong proficiency in Excel (vlookups, pivot tables, basic formulas).</x:v>
      </x:c>
    </x:row>
    <x:row r="145">
      <x:c r="A145" s="9" t="str">
        <x:v>DA</x:v>
      </x:c>
      <x:c r="B145" s="9" t="str">
        <x:v>DA-002</x:v>
      </x:c>
      <x:c r="C145" s="9" t="str">
        <x:v>reporting_tools</x:v>
      </x:c>
      <x:c r="D145" s="9" t="str">
        <x:v>Power BI</x:v>
      </x:c>
      <x:c r="E145" s="17" t="str">
        <x:v>Unclear / not classified</x:v>
      </x:c>
      <x:c r="F145" s="17" t="str">
        <x:v>Skill not present in captured requirement context</x:v>
      </x:c>
    </x:row>
    <x:row r="146">
      <x:c r="A146" s="9" t="str">
        <x:v>DA</x:v>
      </x:c>
      <x:c r="B146" s="9" t="str">
        <x:v>DA-002</x:v>
      </x:c>
      <x:c r="C146" s="9" t="str">
        <x:v>reporting_tools</x:v>
      </x:c>
      <x:c r="D146" s="9" t="str">
        <x:v>Tableau</x:v>
      </x:c>
      <x:c r="E146" s="17" t="str">
        <x:v>Unclear / not classified</x:v>
      </x:c>
      <x:c r="F146" s="17" t="str">
        <x:v>Skill not present in captured requirement context</x:v>
      </x:c>
    </x:row>
    <x:row r="147">
      <x:c r="A147" s="9" t="str">
        <x:v>DA</x:v>
      </x:c>
      <x:c r="B147" s="9" t="str">
        <x:v>DA-002</x:v>
      </x:c>
      <x:c r="C147" s="9" t="str">
        <x:v>tools</x:v>
      </x:c>
      <x:c r="D147" s="9" t="str">
        <x:v>Excel</x:v>
      </x:c>
      <x:c r="E147" s="17" t="str">
        <x:v>Required</x:v>
      </x:c>
      <x:c r="F147" s="17" t="str">
        <x:v>Strong proficiency in Excel (vlookups, pivot tables, basic formulas).</x:v>
      </x:c>
    </x:row>
    <x:row r="148">
      <x:c r="A148" s="9" t="str">
        <x:v>DA</x:v>
      </x:c>
      <x:c r="B148" s="9" t="str">
        <x:v>DA-007</x:v>
      </x:c>
      <x:c r="C148" s="9" t="str">
        <x:v>reporting_tools</x:v>
      </x:c>
      <x:c r="D148" s="9" t="str">
        <x:v>Excel (dashboards/pivot tables)</x:v>
      </x:c>
      <x:c r="E148" s="17" t="str">
        <x:v>Unclear / not classified</x:v>
      </x:c>
      <x:c r="F148" s="17" t="str">
        <x:v>Develop, maintain and refine monthly dashboards (Excel, Power BI and other)</x:v>
      </x:c>
    </x:row>
    <x:row r="149">
      <x:c r="A149" s="9" t="str">
        <x:v>DA</x:v>
      </x:c>
      <x:c r="B149" s="9" t="str">
        <x:v>DA-007</x:v>
      </x:c>
      <x:c r="C149" s="9" t="str">
        <x:v>reporting_tools</x:v>
      </x:c>
      <x:c r="D149" s="9" t="str">
        <x:v>Power BI</x:v>
      </x:c>
      <x:c r="E149" s="17" t="str">
        <x:v>Unclear / not classified</x:v>
      </x:c>
      <x:c r="F149" s="17" t="str">
        <x:v>Develop, maintain and refine monthly dashboards (Excel, Power BI and other)</x:v>
      </x:c>
    </x:row>
    <x:row r="150">
      <x:c r="A150" s="9" t="str">
        <x:v>DA</x:v>
      </x:c>
      <x:c r="B150" s="9" t="str">
        <x:v>DA-007</x:v>
      </x:c>
      <x:c r="C150" s="9" t="str">
        <x:v>tools</x:v>
      </x:c>
      <x:c r="D150" s="9" t="str">
        <x:v>Excel</x:v>
      </x:c>
      <x:c r="E150" s="17" t="str">
        <x:v>Unclear / not classified</x:v>
      </x:c>
      <x:c r="F150" s="17" t="str">
        <x:v>Develop, maintain and refine monthly dashboards (Excel, Power BI and other)</x:v>
      </x:c>
    </x:row>
    <x:row r="151">
      <x:c r="A151" s="9" t="str">
        <x:v>DA</x:v>
      </x:c>
      <x:c r="B151" s="9" t="str">
        <x:v>DA-008</x:v>
      </x:c>
      <x:c r="C151" s="9" t="str">
        <x:v>core_skills</x:v>
      </x:c>
      <x:c r="D151" s="9" t="str">
        <x:v>SQL</x:v>
      </x:c>
      <x:c r="E151" s="17" t="str">
        <x:v>Unclear / not classified</x:v>
      </x:c>
      <x:c r="F151" s="17" t="str">
        <x:v>Skill not present in captured requirement context</x:v>
      </x:c>
    </x:row>
    <x:row r="152">
      <x:c r="A152" s="9" t="str">
        <x:v>DA</x:v>
      </x:c>
      <x:c r="B152" s="9" t="str">
        <x:v>DA-008</x:v>
      </x:c>
      <x:c r="C152" s="9" t="str">
        <x:v>core_skills</x:v>
      </x:c>
      <x:c r="D152" s="9" t="str">
        <x:v>Statistics</x:v>
      </x:c>
      <x:c r="E152" s="17" t="str">
        <x:v>Unclear / not classified</x:v>
      </x:c>
      <x:c r="F152" s="17" t="str">
        <x:v>Skill not present in captured requirement context</x:v>
      </x:c>
    </x:row>
    <x:row r="153">
      <x:c r="A153" s="9" t="str">
        <x:v>DA</x:v>
      </x:c>
      <x:c r="B153" s="9" t="str">
        <x:v>DA-008</x:v>
      </x:c>
      <x:c r="C153" s="9" t="str">
        <x:v>core_skills</x:v>
      </x:c>
      <x:c r="D153" s="9" t="str">
        <x:v>Excel (advanced)</x:v>
      </x:c>
      <x:c r="E153" s="17" t="str">
        <x:v>Required</x:v>
      </x:c>
      <x:c r="F153" s="17" t="str">
        <x:v>Required - Strong working knowledge of Microsoft Office (Excel, Word, Outlook)</x:v>
      </x:c>
    </x:row>
    <x:row r="154">
      <x:c r="A154" s="9" t="str">
        <x:v>DA</x:v>
      </x:c>
      <x:c r="B154" s="9" t="str">
        <x:v>DA-008</x:v>
      </x:c>
      <x:c r="C154" s="9" t="str">
        <x:v>core_skills</x:v>
      </x:c>
      <x:c r="D154" s="9" t="str">
        <x:v>Python</x:v>
      </x:c>
      <x:c r="E154" s="17" t="str">
        <x:v>Unclear / not classified</x:v>
      </x:c>
      <x:c r="F154" s="17" t="str">
        <x:v>Skill not present in captured requirement context</x:v>
      </x:c>
    </x:row>
    <x:row r="155">
      <x:c r="A155" s="9" t="str">
        <x:v>DA</x:v>
      </x:c>
      <x:c r="B155" s="9" t="str">
        <x:v>DA-008</x:v>
      </x:c>
      <x:c r="C155" s="9" t="str">
        <x:v>reporting_tools</x:v>
      </x:c>
      <x:c r="D155" s="9" t="str">
        <x:v>Excel (dashboards/pivot tables)</x:v>
      </x:c>
      <x:c r="E155" s="17" t="str">
        <x:v>Required</x:v>
      </x:c>
      <x:c r="F155" s="17" t="str">
        <x:v>Required - Strong working knowledge of Microsoft Office (Excel, Word, Outlook)</x:v>
      </x:c>
    </x:row>
    <x:row r="156">
      <x:c r="A156" s="9" t="str">
        <x:v>DA</x:v>
      </x:c>
      <x:c r="B156" s="9" t="str">
        <x:v>DA-008</x:v>
      </x:c>
      <x:c r="C156" s="9" t="str">
        <x:v>reporting_tools</x:v>
      </x:c>
      <x:c r="D156" s="9" t="str">
        <x:v>Power BI</x:v>
      </x:c>
      <x:c r="E156" s="17" t="str">
        <x:v>Unclear / not classified</x:v>
      </x:c>
      <x:c r="F156" s="17" t="str">
        <x:v>Skill not present in captured requirement context</x:v>
      </x:c>
    </x:row>
    <x:row r="157">
      <x:c r="A157" s="9" t="str">
        <x:v>DA</x:v>
      </x:c>
      <x:c r="B157" s="9" t="str">
        <x:v>DA-008</x:v>
      </x:c>
      <x:c r="C157" s="9" t="str">
        <x:v>tools</x:v>
      </x:c>
      <x:c r="D157" s="9" t="str">
        <x:v>Excel</x:v>
      </x:c>
      <x:c r="E157" s="17" t="str">
        <x:v>Required</x:v>
      </x:c>
      <x:c r="F157" s="17" t="str">
        <x:v>Required - Strong working knowledge of Microsoft Office (Excel, Word, Outlook)</x:v>
      </x:c>
    </x:row>
    <x:row r="158">
      <x:c r="A158" s="9" t="str">
        <x:v>DA</x:v>
      </x:c>
      <x:c r="B158" s="9" t="str">
        <x:v>DA-008</x:v>
      </x:c>
      <x:c r="C158" s="9" t="str">
        <x:v>tools</x:v>
      </x:c>
      <x:c r="D158" s="9" t="str">
        <x:v>Jira</x:v>
      </x:c>
      <x:c r="E158" s="17" t="str">
        <x:v>Unclear / not classified</x:v>
      </x:c>
      <x:c r="F158" s="17" t="str">
        <x:v>Skill not present in captured requirement context</x:v>
      </x:c>
    </x:row>
    <x:row r="159">
      <x:c r="A159" s="9" t="str">
        <x:v>DA</x:v>
      </x:c>
      <x:c r="B159" s="9" t="str">
        <x:v>DA-010</x:v>
      </x:c>
      <x:c r="C159" s="9" t="str">
        <x:v>core_skills</x:v>
      </x:c>
      <x:c r="D159" s="9" t="str">
        <x:v>Statistics</x:v>
      </x:c>
      <x:c r="E159" s="17" t="str">
        <x:v>Unclear / not classified</x:v>
      </x:c>
      <x:c r="F159" s="17" t="str">
        <x:v>Skill not present in captured requirement context</x:v>
      </x:c>
    </x:row>
    <x:row r="160">
      <x:c r="A160" s="9" t="str">
        <x:v>DA</x:v>
      </x:c>
      <x:c r="B160" s="9" t="str">
        <x:v>DA-010</x:v>
      </x:c>
      <x:c r="C160" s="9" t="str">
        <x:v>core_skills</x:v>
      </x:c>
      <x:c r="D160" s="9" t="str">
        <x:v>R</x:v>
      </x:c>
      <x:c r="E160" s="17" t="str">
        <x:v>Unclear / not classified</x:v>
      </x:c>
      <x:c r="F160" s="17" t="str">
        <x:v>Skill not present in captured requirement context</x:v>
      </x:c>
    </x:row>
    <x:row r="161">
      <x:c r="A161" s="9" t="str">
        <x:v>DA</x:v>
      </x:c>
      <x:c r="B161" s="9" t="str">
        <x:v>DA-010</x:v>
      </x:c>
      <x:c r="C161" s="9" t="str">
        <x:v>core_skills</x:v>
      </x:c>
      <x:c r="D161" s="9" t="str">
        <x:v>Python</x:v>
      </x:c>
      <x:c r="E161" s="17" t="str">
        <x:v>Unclear / not classified</x:v>
      </x:c>
      <x:c r="F161" s="17" t="str">
        <x:v>Skill not present in captured requirement context</x:v>
      </x:c>
    </x:row>
    <x:row r="162">
      <x:c r="A162" s="9" t="str">
        <x:v>DA</x:v>
      </x:c>
      <x:c r="B162" s="9" t="str">
        <x:v>DA-010</x:v>
      </x:c>
      <x:c r="C162" s="9" t="str">
        <x:v>core_skills</x:v>
      </x:c>
      <x:c r="D162" s="9" t="str">
        <x:v>SQL</x:v>
      </x:c>
      <x:c r="E162" s="17" t="str">
        <x:v>Unclear / not classified</x:v>
      </x:c>
      <x:c r="F162" s="17" t="str">
        <x:v>Skill not present in captured requirement context</x:v>
      </x:c>
    </x:row>
    <x:row r="163">
      <x:c r="A163" s="9" t="str">
        <x:v>DA</x:v>
      </x:c>
      <x:c r="B163" s="9" t="str">
        <x:v>DA-010</x:v>
      </x:c>
      <x:c r="C163" s="9" t="str">
        <x:v>reporting_tools</x:v>
      </x:c>
      <x:c r="D163" s="9" t="str">
        <x:v>Tableau</x:v>
      </x:c>
      <x:c r="E163" s="17" t="str">
        <x:v>Unclear / not classified</x:v>
      </x:c>
      <x:c r="F163" s="17" t="str">
        <x:v>Skill not present in captured requirement context</x:v>
      </x:c>
    </x:row>
    <x:row r="164">
      <x:c r="A164" s="9" t="str">
        <x:v>DA</x:v>
      </x:c>
      <x:c r="B164" s="9" t="str">
        <x:v>DA-010</x:v>
      </x:c>
      <x:c r="C164" s="9" t="str">
        <x:v>tools</x:v>
      </x:c>
      <x:c r="D164" s="9" t="str">
        <x:v>Excel</x:v>
      </x:c>
      <x:c r="E164" s="17" t="str">
        <x:v>Unclear / not classified</x:v>
      </x:c>
      <x:c r="F164" s="17" t="str">
        <x:v>Skill not present in captured requirement context</x:v>
      </x:c>
    </x:row>
    <x:row r="165">
      <x:c r="A165" s="9" t="str">
        <x:v>DA</x:v>
      </x:c>
      <x:c r="B165" s="9" t="str">
        <x:v>DA-011</x:v>
      </x:c>
      <x:c r="C165" s="9" t="str">
        <x:v>core_skills</x:v>
      </x:c>
      <x:c r="D165" s="9" t="str">
        <x:v>Statistics</x:v>
      </x:c>
      <x:c r="E165" s="17" t="str">
        <x:v>Unclear / not classified</x:v>
      </x:c>
      <x:c r="F165" s="17" t="str">
        <x:v>Skill not present in captured requirement context</x:v>
      </x:c>
    </x:row>
    <x:row r="166">
      <x:c r="A166" s="9" t="str">
        <x:v>DA</x:v>
      </x:c>
      <x:c r="B166" s="9" t="str">
        <x:v>DA-011</x:v>
      </x:c>
      <x:c r="C166" s="9" t="str">
        <x:v>core_skills</x:v>
      </x:c>
      <x:c r="D166" s="9" t="str">
        <x:v>SQL</x:v>
      </x:c>
      <x:c r="E166" s="17" t="str">
        <x:v>Unclear / not classified</x:v>
      </x:c>
      <x:c r="F166" s="17" t="str">
        <x:v>Skill not present in captured requirement context</x:v>
      </x:c>
    </x:row>
    <x:row r="167">
      <x:c r="A167" s="9" t="str">
        <x:v>DA</x:v>
      </x:c>
      <x:c r="B167" s="9" t="str">
        <x:v>DA-011</x:v>
      </x:c>
      <x:c r="C167" s="9" t="str">
        <x:v>core_skills</x:v>
      </x:c>
      <x:c r="D167" s="9" t="str">
        <x:v>Python</x:v>
      </x:c>
      <x:c r="E167" s="17" t="str">
        <x:v>Unclear / not classified</x:v>
      </x:c>
      <x:c r="F167" s="17" t="str">
        <x:v>Skill not present in captured requirement context</x:v>
      </x:c>
    </x:row>
    <x:row r="168">
      <x:c r="A168" s="9" t="str">
        <x:v>DA</x:v>
      </x:c>
      <x:c r="B168" s="9" t="str">
        <x:v>DA-011</x:v>
      </x:c>
      <x:c r="C168" s="9" t="str">
        <x:v>core_skills</x:v>
      </x:c>
      <x:c r="D168" s="9" t="str">
        <x:v>R</x:v>
      </x:c>
      <x:c r="E168" s="17" t="str">
        <x:v>Unclear / not classified</x:v>
      </x:c>
      <x:c r="F168" s="17" t="str">
        <x:v>Skill not present in captured requirement context</x:v>
      </x:c>
    </x:row>
    <x:row r="169">
      <x:c r="A169" s="9" t="str">
        <x:v>DA</x:v>
      </x:c>
      <x:c r="B169" s="9" t="str">
        <x:v>DA-011</x:v>
      </x:c>
      <x:c r="C169" s="9" t="str">
        <x:v>reporting_tools</x:v>
      </x:c>
      <x:c r="D169" s="9" t="str">
        <x:v>Power BI</x:v>
      </x:c>
      <x:c r="E169" s="17" t="str">
        <x:v>Unclear / not classified</x:v>
      </x:c>
      <x:c r="F169" s="17" t="str">
        <x:v>Skill not present in captured requirement context</x:v>
      </x:c>
    </x:row>
    <x:row r="170">
      <x:c r="A170" s="9" t="str">
        <x:v>DA</x:v>
      </x:c>
      <x:c r="B170" s="9" t="str">
        <x:v>DA-011</x:v>
      </x:c>
      <x:c r="C170" s="9" t="str">
        <x:v>reporting_tools</x:v>
      </x:c>
      <x:c r="D170" s="9" t="str">
        <x:v>Tableau</x:v>
      </x:c>
      <x:c r="E170" s="17" t="str">
        <x:v>Unclear / not classified</x:v>
      </x:c>
      <x:c r="F170" s="17" t="str">
        <x:v>Skill not present in captured requirement context</x:v>
      </x:c>
    </x:row>
    <x:row r="171">
      <x:c r="A171" s="9" t="str">
        <x:v>DA</x:v>
      </x:c>
      <x:c r="B171" s="9" t="str">
        <x:v>DA-011</x:v>
      </x:c>
      <x:c r="C171" s="9" t="str">
        <x:v>reporting_tools</x:v>
      </x:c>
      <x:c r="D171" s="9" t="str">
        <x:v>Google Data Studio / Looker Studio</x:v>
      </x:c>
      <x:c r="E171" s="17" t="str">
        <x:v>Unclear / not classified</x:v>
      </x:c>
      <x:c r="F171" s="17" t="str">
        <x:v>Skill not present in captured requirement context</x:v>
      </x:c>
    </x:row>
    <x:row r="172">
      <x:c r="A172" s="9" t="str">
        <x:v>DA</x:v>
      </x:c>
      <x:c r="B172" s="9" t="str">
        <x:v>DA-012</x:v>
      </x:c>
      <x:c r="C172" s="9" t="str">
        <x:v>core_skills</x:v>
      </x:c>
      <x:c r="D172" s="9" t="str">
        <x:v>SQL</x:v>
      </x:c>
      <x:c r="E172" s="17" t="str">
        <x:v>Unclear / not classified</x:v>
      </x:c>
      <x:c r="F172" s="17" t="str">
        <x:v>Skill not present in captured requirement context</x:v>
      </x:c>
    </x:row>
    <x:row r="173">
      <x:c r="A173" s="9" t="str">
        <x:v>DA</x:v>
      </x:c>
      <x:c r="B173" s="9" t="str">
        <x:v>DA-012</x:v>
      </x:c>
      <x:c r="C173" s="9" t="str">
        <x:v>reporting_tools</x:v>
      </x:c>
      <x:c r="D173" s="9" t="str">
        <x:v>Excel (dashboards/pivot tables)</x:v>
      </x:c>
      <x:c r="E173" s="17" t="str">
        <x:v>Unclear / not classified</x:v>
      </x:c>
      <x:c r="F173" s="17" t="str">
        <x:v>Develop and maintain reports, dashboards, and KPIs using Power BI and Excel.</x:v>
      </x:c>
    </x:row>
    <x:row r="174">
      <x:c r="A174" s="9" t="str">
        <x:v>DA</x:v>
      </x:c>
      <x:c r="B174" s="9" t="str">
        <x:v>DA-012</x:v>
      </x:c>
      <x:c r="C174" s="9" t="str">
        <x:v>reporting_tools</x:v>
      </x:c>
      <x:c r="D174" s="9" t="str">
        <x:v>Power BI</x:v>
      </x:c>
      <x:c r="E174" s="17" t="str">
        <x:v>Unclear / not classified</x:v>
      </x:c>
      <x:c r="F174" s="17" t="str">
        <x:v>Develop and maintain reports, dashboards, and KPIs using Power BI and Excel.</x:v>
      </x:c>
    </x:row>
    <x:row r="175">
      <x:c r="A175" s="9" t="str">
        <x:v>DA</x:v>
      </x:c>
      <x:c r="B175" s="9" t="str">
        <x:v>DA-012</x:v>
      </x:c>
      <x:c r="C175" s="9" t="str">
        <x:v>tools</x:v>
      </x:c>
      <x:c r="D175" s="9" t="str">
        <x:v>Excel</x:v>
      </x:c>
      <x:c r="E175" s="17" t="str">
        <x:v>Unclear / not classified</x:v>
      </x:c>
      <x:c r="F175" s="17" t="str">
        <x:v>Develop and maintain reports, dashboards, and KPIs using Power BI and Excel.</x:v>
      </x:c>
    </x:row>
    <x:row r="176">
      <x:c r="A176" s="9" t="str">
        <x:v>DA</x:v>
      </x:c>
      <x:c r="B176" s="9" t="str">
        <x:v>DA-013</x:v>
      </x:c>
      <x:c r="C176" s="9" t="str">
        <x:v>core_skills</x:v>
      </x:c>
      <x:c r="D176" s="9" t="str">
        <x:v>Statistics</x:v>
      </x:c>
      <x:c r="E176" s="17" t="str">
        <x:v>Unclear / not classified</x:v>
      </x:c>
      <x:c r="F176" s="17" t="str">
        <x:v>Skill not present in captured requirement context</x:v>
      </x:c>
    </x:row>
    <x:row r="177">
      <x:c r="A177" s="9" t="str">
        <x:v>DA</x:v>
      </x:c>
      <x:c r="B177" s="9" t="str">
        <x:v>DA-013</x:v>
      </x:c>
      <x:c r="C177" s="9" t="str">
        <x:v>core_skills</x:v>
      </x:c>
      <x:c r="D177" s="9" t="str">
        <x:v>SQL</x:v>
      </x:c>
      <x:c r="E177" s="17" t="str">
        <x:v>Preferred</x:v>
      </x:c>
      <x:c r="F177" s="17" t="str">
        <x:v>Experience with Power BI, SQL, or similar tools advantageous</x:v>
      </x:c>
    </x:row>
    <x:row r="178">
      <x:c r="A178" s="9" t="str">
        <x:v>DA</x:v>
      </x:c>
      <x:c r="B178" s="9" t="str">
        <x:v>DA-013</x:v>
      </x:c>
      <x:c r="C178" s="9" t="str">
        <x:v>core_skills</x:v>
      </x:c>
      <x:c r="D178" s="9" t="str">
        <x:v>R</x:v>
      </x:c>
      <x:c r="E178" s="17" t="str">
        <x:v>Unclear / not classified</x:v>
      </x:c>
      <x:c r="F178" s="17" t="str">
        <x:v>Skill not present in captured requirement context</x:v>
      </x:c>
    </x:row>
    <x:row r="179">
      <x:c r="A179" s="9" t="str">
        <x:v>DA</x:v>
      </x:c>
      <x:c r="B179" s="9" t="str">
        <x:v>DA-013</x:v>
      </x:c>
      <x:c r="C179" s="9" t="str">
        <x:v>reporting_tools</x:v>
      </x:c>
      <x:c r="D179" s="9" t="str">
        <x:v>Power BI</x:v>
      </x:c>
      <x:c r="E179" s="17" t="str">
        <x:v>Preferred</x:v>
      </x:c>
      <x:c r="F179" s="17" t="str">
        <x:v>Experience with Power BI, SQL, or similar tools advantageous</x:v>
      </x:c>
    </x:row>
    <x:row r="180">
      <x:c r="A180" s="9" t="str">
        <x:v>DA</x:v>
      </x:c>
      <x:c r="B180" s="9" t="str">
        <x:v>DA-013</x:v>
      </x:c>
      <x:c r="C180" s="9" t="str">
        <x:v>tools</x:v>
      </x:c>
      <x:c r="D180" s="9" t="str">
        <x:v>Excel</x:v>
      </x:c>
      <x:c r="E180" s="17" t="str">
        <x:v>Unclear / not classified</x:v>
      </x:c>
      <x:c r="F180" s="17" t="str">
        <x:v>Skill not present in captured requirement context</x:v>
      </x:c>
    </x:row>
    <x:row r="181">
      <x:c r="A181" s="9" t="str">
        <x:v>DA</x:v>
      </x:c>
      <x:c r="B181" s="9" t="str">
        <x:v>DA-014</x:v>
      </x:c>
      <x:c r="C181" s="9" t="str">
        <x:v>core_skills</x:v>
      </x:c>
      <x:c r="D181" s="9" t="str">
        <x:v>SQL</x:v>
      </x:c>
      <x:c r="E181" s="17" t="str">
        <x:v>Unclear / not classified</x:v>
      </x:c>
      <x:c r="F181" s="17" t="str">
        <x:v>xperience in Data Analytics, Business Intelligence, Reporting, or a related field, with practical exposure to SQL, data visualization tools (Power BI/Tableau), data cleaning, and business reporting.</x:v>
      </x:c>
    </x:row>
    <x:row r="182">
      <x:c r="A182" s="9" t="str">
        <x:v>DA</x:v>
      </x:c>
      <x:c r="B182" s="9" t="str">
        <x:v>DA-014</x:v>
      </x:c>
      <x:c r="C182" s="9" t="str">
        <x:v>core_skills</x:v>
      </x:c>
      <x:c r="D182" s="9" t="str">
        <x:v>Data Cleaning</x:v>
      </x:c>
      <x:c r="E182" s="17" t="str">
        <x:v>Unclear / not classified</x:v>
      </x:c>
      <x:c r="F182" s="17" t="str">
        <x:v>, Reporting, or a related field, with practical exposure to SQL, data visualization tools (Power BI/Tableau), data cleaning, and business reporting.</x:v>
      </x:c>
    </x:row>
    <x:row r="183">
      <x:c r="A183" s="9" t="str">
        <x:v>DA</x:v>
      </x:c>
      <x:c r="B183" s="9" t="str">
        <x:v>DA-014</x:v>
      </x:c>
      <x:c r="C183" s="9" t="str">
        <x:v>core_skills</x:v>
      </x:c>
      <x:c r="D183" s="9" t="str">
        <x:v>Statistics</x:v>
      </x:c>
      <x:c r="E183" s="17" t="str">
        <x:v>Unclear / not classified</x:v>
      </x:c>
      <x:c r="F183" s="17" t="str">
        <x:v>Skill not present in captured requirement context</x:v>
      </x:c>
    </x:row>
    <x:row r="184">
      <x:c r="A184" s="9" t="str">
        <x:v>DA</x:v>
      </x:c>
      <x:c r="B184" s="9" t="str">
        <x:v>DA-014</x:v>
      </x:c>
      <x:c r="C184" s="9" t="str">
        <x:v>core_skills</x:v>
      </x:c>
      <x:c r="D184" s="9" t="str">
        <x:v>Python</x:v>
      </x:c>
      <x:c r="E184" s="17" t="str">
        <x:v>Unclear / not classified</x:v>
      </x:c>
      <x:c r="F184" s="17" t="str">
        <x:v>Skill not present in captured requirement context</x:v>
      </x:c>
    </x:row>
    <x:row r="185">
      <x:c r="A185" s="9" t="str">
        <x:v>DA</x:v>
      </x:c>
      <x:c r="B185" s="9" t="str">
        <x:v>DA-014</x:v>
      </x:c>
      <x:c r="C185" s="9" t="str">
        <x:v>core_skills</x:v>
      </x:c>
      <x:c r="D185" s="9" t="str">
        <x:v>R</x:v>
      </x:c>
      <x:c r="E185" s="17" t="str">
        <x:v>Unclear / not classified</x:v>
      </x:c>
      <x:c r="F185" s="17" t="str">
        <x:v>Skill not present in captured requirement context</x:v>
      </x:c>
    </x:row>
    <x:row r="186">
      <x:c r="A186" s="9" t="str">
        <x:v>DA</x:v>
      </x:c>
      <x:c r="B186" s="9" t="str">
        <x:v>DA-014</x:v>
      </x:c>
      <x:c r="C186" s="9" t="str">
        <x:v>reporting_tools</x:v>
      </x:c>
      <x:c r="D186" s="9" t="str">
        <x:v>Power BI</x:v>
      </x:c>
      <x:c r="E186" s="17" t="str">
        <x:v>Unclear / not classified</x:v>
      </x:c>
      <x:c r="F186" s="17" t="str">
        <x:v>siness Intelligence, Reporting, or a related field, with practical exposure to SQL, data visualization tools (Power BI/Tableau), data cleaning, and business reporting.</x:v>
      </x:c>
    </x:row>
    <x:row r="187">
      <x:c r="A187" s="9" t="str">
        <x:v>DA</x:v>
      </x:c>
      <x:c r="B187" s="9" t="str">
        <x:v>DA-014</x:v>
      </x:c>
      <x:c r="C187" s="9" t="str">
        <x:v>reporting_tools</x:v>
      </x:c>
      <x:c r="D187" s="9" t="str">
        <x:v>Tableau</x:v>
      </x:c>
      <x:c r="E187" s="17" t="str">
        <x:v>Unclear / not classified</x:v>
      </x:c>
      <x:c r="F187" s="17" t="str">
        <x:v>telligence, Reporting, or a related field, with practical exposure to SQL, data visualization tools (Power BI/Tableau), data cleaning, and business reporting.</x:v>
      </x:c>
    </x:row>
    <x:row r="188">
      <x:c r="A188" s="9" t="str">
        <x:v>DA</x:v>
      </x:c>
      <x:c r="B188" s="9" t="str">
        <x:v>DA-014</x:v>
      </x:c>
      <x:c r="C188" s="9" t="str">
        <x:v>tools</x:v>
      </x:c>
      <x:c r="D188" s="9" t="str">
        <x:v>Excel</x:v>
      </x:c>
      <x:c r="E188" s="17" t="str">
        <x:v>Unclear / not classified</x:v>
      </x:c>
      <x:c r="F188" s="17" t="str">
        <x:v>Skill not present in captured requirement context</x:v>
      </x:c>
    </x:row>
    <x:row r="189">
      <x:c r="A189" s="9" t="str">
        <x:v>DA</x:v>
      </x:c>
      <x:c r="B189" s="9" t="str">
        <x:v>DA-014</x:v>
      </x:c>
      <x:c r="C189" s="9" t="str">
        <x:v>tools</x:v>
      </x:c>
      <x:c r="D189" s="9" t="str">
        <x:v>Power Query</x:v>
      </x:c>
      <x:c r="E189" s="17" t="str">
        <x:v>Unclear / not classified</x:v>
      </x:c>
      <x:c r="F189" s="17" t="str">
        <x:v>Skill not present in captured requirement context</x:v>
      </x:c>
    </x:row>
    <x:row r="190">
      <x:c r="A190" s="9" t="str">
        <x:v>DA</x:v>
      </x:c>
      <x:c r="B190" s="9" t="str">
        <x:v>DA-018</x:v>
      </x:c>
      <x:c r="C190" s="9" t="str">
        <x:v>core_skills</x:v>
      </x:c>
      <x:c r="D190" s="9" t="str">
        <x:v>Statistics</x:v>
      </x:c>
      <x:c r="E190" s="17" t="str">
        <x:v>Unclear / not classified</x:v>
      </x:c>
      <x:c r="F190" s="17" t="str">
        <x:v>Skill not present in captured requirement context</x:v>
      </x:c>
    </x:row>
    <x:row r="191">
      <x:c r="A191" s="9" t="str">
        <x:v>DA</x:v>
      </x:c>
      <x:c r="B191" s="9" t="str">
        <x:v>DA-018</x:v>
      </x:c>
      <x:c r="C191" s="9" t="str">
        <x:v>core_skills</x:v>
      </x:c>
      <x:c r="D191" s="9" t="str">
        <x:v>SQL</x:v>
      </x:c>
      <x:c r="E191" s="17" t="str">
        <x:v>Unclear / not classified</x:v>
      </x:c>
      <x:c r="F191" s="17" t="str">
        <x:v>Skill not present in captured requirement context</x:v>
      </x:c>
    </x:row>
    <x:row r="192">
      <x:c r="A192" s="9" t="str">
        <x:v>DA</x:v>
      </x:c>
      <x:c r="B192" s="9" t="str">
        <x:v>DA-018</x:v>
      </x:c>
      <x:c r="C192" s="9" t="str">
        <x:v>core_skills</x:v>
      </x:c>
      <x:c r="D192" s="9" t="str">
        <x:v>Python</x:v>
      </x:c>
      <x:c r="E192" s="17" t="str">
        <x:v>Unclear / not classified</x:v>
      </x:c>
      <x:c r="F192" s="17" t="str">
        <x:v>Skill not present in captured requirement context</x:v>
      </x:c>
    </x:row>
    <x:row r="193">
      <x:c r="A193" s="9" t="str">
        <x:v>DA</x:v>
      </x:c>
      <x:c r="B193" s="9" t="str">
        <x:v>DA-018</x:v>
      </x:c>
      <x:c r="C193" s="9" t="str">
        <x:v>reporting_tools</x:v>
      </x:c>
      <x:c r="D193" s="9" t="str">
        <x:v>Power BI</x:v>
      </x:c>
      <x:c r="E193" s="17" t="str">
        <x:v>Unclear / not classified</x:v>
      </x:c>
      <x:c r="F193" s="17" t="str">
        <x:v>Skill not present in captured requirement context</x:v>
      </x:c>
    </x:row>
    <x:row r="194">
      <x:c r="A194" s="9" t="str">
        <x:v>DA</x:v>
      </x:c>
      <x:c r="B194" s="9" t="str">
        <x:v>DA-018</x:v>
      </x:c>
      <x:c r="C194" s="9" t="str">
        <x:v>reporting_tools</x:v>
      </x:c>
      <x:c r="D194" s="9" t="str">
        <x:v>Tableau</x:v>
      </x:c>
      <x:c r="E194" s="17" t="str">
        <x:v>Unclear / not classified</x:v>
      </x:c>
      <x:c r="F194" s="17" t="str">
        <x:v>Skill not present in captured requirement context</x:v>
      </x:c>
    </x:row>
    <x:row r="195">
      <x:c r="A195" s="9" t="str">
        <x:v>DA</x:v>
      </x:c>
      <x:c r="B195" s="9" t="str">
        <x:v>DA-018</x:v>
      </x:c>
      <x:c r="C195" s="9" t="str">
        <x:v>tools</x:v>
      </x:c>
      <x:c r="D195" s="9" t="str">
        <x:v>Excel</x:v>
      </x:c>
      <x:c r="E195" s="17" t="str">
        <x:v>Unclear / not classified</x:v>
      </x:c>
      <x:c r="F195" s="17" t="str">
        <x:v>Skill not present in captured requirement context</x:v>
      </x:c>
    </x:row>
    <x:row r="196">
      <x:c r="A196" s="9" t="str">
        <x:v>DA</x:v>
      </x:c>
      <x:c r="B196" s="9" t="str">
        <x:v>DA-019</x:v>
      </x:c>
      <x:c r="C196" s="9" t="str">
        <x:v>core_skills</x:v>
      </x:c>
      <x:c r="D196" s="9" t="str">
        <x:v>SQL</x:v>
      </x:c>
      <x:c r="E196" s="17" t="str">
        <x:v>Unclear / not classified</x:v>
      </x:c>
      <x:c r="F196" s="17" t="str">
        <x:v>Skill not present in captured requirement context</x:v>
      </x:c>
    </x:row>
    <x:row r="197">
      <x:c r="A197" s="9" t="str">
        <x:v>DA</x:v>
      </x:c>
      <x:c r="B197" s="9" t="str">
        <x:v>DA-019</x:v>
      </x:c>
      <x:c r="C197" s="9" t="str">
        <x:v>reporting_tools</x:v>
      </x:c>
      <x:c r="D197" s="9" t="str">
        <x:v>Excel (dashboards/pivot tables)</x:v>
      </x:c>
      <x:c r="E197" s="17" t="str">
        <x:v>Unclear / not classified</x:v>
      </x:c>
      <x:c r="F197" s="17" t="str">
        <x:v>Strong Microsoft Excel and Power BI skills.</x:v>
      </x:c>
    </x:row>
    <x:row r="198">
      <x:c r="A198" s="9" t="str">
        <x:v>DA</x:v>
      </x:c>
      <x:c r="B198" s="9" t="str">
        <x:v>DA-019</x:v>
      </x:c>
      <x:c r="C198" s="9" t="str">
        <x:v>reporting_tools</x:v>
      </x:c>
      <x:c r="D198" s="9" t="str">
        <x:v>Power BI</x:v>
      </x:c>
      <x:c r="E198" s="17" t="str">
        <x:v>Unclear / not classified</x:v>
      </x:c>
      <x:c r="F198" s="17" t="str">
        <x:v>Strong Microsoft Excel and Power BI skills.</x:v>
      </x:c>
    </x:row>
    <x:row r="199">
      <x:c r="A199" s="9" t="str">
        <x:v>DA</x:v>
      </x:c>
      <x:c r="B199" s="9" t="str">
        <x:v>DA-019</x:v>
      </x:c>
      <x:c r="C199" s="9" t="str">
        <x:v>tools</x:v>
      </x:c>
      <x:c r="D199" s="9" t="str">
        <x:v>Excel</x:v>
      </x:c>
      <x:c r="E199" s="17" t="str">
        <x:v>Unclear / not classified</x:v>
      </x:c>
      <x:c r="F199" s="17" t="str">
        <x:v>Strong Microsoft Excel and Power BI skills.</x:v>
      </x:c>
    </x:row>
    <x:row r="200">
      <x:c r="A200" s="9" t="str">
        <x:v>DA</x:v>
      </x:c>
      <x:c r="B200" s="9" t="str">
        <x:v>DA-020</x:v>
      </x:c>
      <x:c r="C200" s="9" t="str">
        <x:v>core_skills</x:v>
      </x:c>
      <x:c r="D200" s="9" t="str">
        <x:v>SQL</x:v>
      </x:c>
      <x:c r="E200" s="17" t="str">
        <x:v>Unclear / not classified</x:v>
      </x:c>
      <x:c r="F200" s="17" t="str">
        <x:v>BI Analyst (Power BI, Tableau, SQL) EvdB</x:v>
      </x:c>
    </x:row>
    <x:row r="201">
      <x:c r="A201" s="9" t="str">
        <x:v>DA</x:v>
      </x:c>
      <x:c r="B201" s="9" t="str">
        <x:v>DA-020</x:v>
      </x:c>
      <x:c r="C201" s="9" t="str">
        <x:v>reporting_tools</x:v>
      </x:c>
      <x:c r="D201" s="9" t="str">
        <x:v>Power BI</x:v>
      </x:c>
      <x:c r="E201" s="17" t="str">
        <x:v>Unclear / not classified</x:v>
      </x:c>
      <x:c r="F201" s="17" t="str">
        <x:v>BI Analyst (Power BI, Tableau, SQL) EvdB</x:v>
      </x:c>
    </x:row>
    <x:row r="202">
      <x:c r="A202" s="9" t="str">
        <x:v>DA</x:v>
      </x:c>
      <x:c r="B202" s="9" t="str">
        <x:v>DA-020</x:v>
      </x:c>
      <x:c r="C202" s="9" t="str">
        <x:v>reporting_tools</x:v>
      </x:c>
      <x:c r="D202" s="9" t="str">
        <x:v>Tableau</x:v>
      </x:c>
      <x:c r="E202" s="17" t="str">
        <x:v>Unclear / not classified</x:v>
      </x:c>
      <x:c r="F202" s="17" t="str">
        <x:v>BI Analyst (Power BI, Tableau, SQL) EvdB</x:v>
      </x:c>
    </x:row>
    <x:row r="203">
      <x:c r="A203" s="9" t="str">
        <x:v>DA</x:v>
      </x:c>
      <x:c r="B203" s="9" t="str">
        <x:v>DA-023</x:v>
      </x:c>
      <x:c r="C203" s="9" t="str">
        <x:v>core_skills</x:v>
      </x:c>
      <x:c r="D203" s="9" t="str">
        <x:v>Data Modelling</x:v>
      </x:c>
      <x:c r="E203" s="17" t="str">
        <x:v>Unclear / not classified</x:v>
      </x:c>
      <x:c r="F203" s="17" t="str">
        <x:v>Skill not present in captured requirement context</x:v>
      </x:c>
    </x:row>
    <x:row r="204">
      <x:c r="A204" s="9" t="str">
        <x:v>DA</x:v>
      </x:c>
      <x:c r="B204" s="9" t="str">
        <x:v>DA-023</x:v>
      </x:c>
      <x:c r="C204" s="9" t="str">
        <x:v>core_skills</x:v>
      </x:c>
      <x:c r="D204" s="9" t="str">
        <x:v>Python</x:v>
      </x:c>
      <x:c r="E204" s="17" t="str">
        <x:v>Unclear / not classified</x:v>
      </x:c>
      <x:c r="F204" s="17" t="str">
        <x:v>Skill not present in captured requirement context</x:v>
      </x:c>
    </x:row>
    <x:row r="205">
      <x:c r="A205" s="9" t="str">
        <x:v>DA</x:v>
      </x:c>
      <x:c r="B205" s="9" t="str">
        <x:v>DA-023</x:v>
      </x:c>
      <x:c r="C205" s="9" t="str">
        <x:v>reporting_tools</x:v>
      </x:c>
      <x:c r="D205" s="9" t="str">
        <x:v>Power BI</x:v>
      </x:c>
      <x:c r="E205" s="17" t="str">
        <x:v>Unclear / not classified</x:v>
      </x:c>
      <x:c r="F205" s="17" t="str">
        <x:v>Skill not present in captured requirement context</x:v>
      </x:c>
    </x:row>
    <x:row r="206">
      <x:c r="A206" s="9" t="str">
        <x:v>DA</x:v>
      </x:c>
      <x:c r="B206" s="9" t="str">
        <x:v>DA-023</x:v>
      </x:c>
      <x:c r="C206" s="9" t="str">
        <x:v>tools</x:v>
      </x:c>
      <x:c r="D206" s="9" t="str">
        <x:v>pandas</x:v>
      </x:c>
      <x:c r="E206" s="17" t="str">
        <x:v>Unclear / not classified</x:v>
      </x:c>
      <x:c r="F206" s="17" t="str">
        <x:v>Skill not present in captured requirement context</x:v>
      </x:c>
    </x:row>
    <x:row r="207">
      <x:c r="A207" s="9" t="str">
        <x:v>DA</x:v>
      </x:c>
      <x:c r="B207" s="9" t="str">
        <x:v>DA-024</x:v>
      </x:c>
      <x:c r="C207" s="9" t="str">
        <x:v>core_skills</x:v>
      </x:c>
      <x:c r="D207" s="9" t="str">
        <x:v>SQL</x:v>
      </x:c>
      <x:c r="E207" s="17" t="str">
        <x:v>Required</x:v>
      </x:c>
      <x:c r="F207" s="17" t="str">
        <x:v>ation tools such as Power BI, Tableau, Looker Studio, Google Analytics, or similar platforms Strong Excel and SQL skills for data extraction, manipulation, analysis, and reporting Experience working with large datasets and</x:v>
      </x:c>
    </x:row>
    <x:row r="208">
      <x:c r="A208" s="9" t="str">
        <x:v>DA</x:v>
      </x:c>
      <x:c r="B208" s="9" t="str">
        <x:v>DA-024</x:v>
      </x:c>
      <x:c r="C208" s="9" t="str">
        <x:v>core_skills</x:v>
      </x:c>
      <x:c r="D208" s="9" t="str">
        <x:v>Statistics</x:v>
      </x:c>
      <x:c r="E208" s="17" t="str">
        <x:v>Unclear / not classified</x:v>
      </x:c>
      <x:c r="F208" s="17" t="str">
        <x:v>illingness to learn, improve, and grow within the analytics field A relevant qualification in Data Analytics, Statistics, Mathematics, Computer Science, Information Systems, Finance, Economics, or a related field would be advantag</x:v>
      </x:c>
    </x:row>
    <x:row r="209">
      <x:c r="A209" s="9" t="str">
        <x:v>DA</x:v>
      </x:c>
      <x:c r="B209" s="9" t="str">
        <x:v>DA-024</x:v>
      </x:c>
      <x:c r="C209" s="9" t="str">
        <x:v>reporting_tools</x:v>
      </x:c>
      <x:c r="D209" s="9" t="str">
        <x:v>Power BI</x:v>
      </x:c>
      <x:c r="E209" s="17" t="str">
        <x:v>Required</x:v>
      </x:c>
      <x:c r="F209" s="17" t="str">
        <x:v>reporting methodologies, and BI principles Experience working with reporting and visualisation tools such as Power BI, Tableau, Looker Studio, Google Analytics, or similar platforms Strong Excel and SQL skills for data extracti</x:v>
      </x:c>
    </x:row>
    <x:row r="210">
      <x:c r="A210" s="9" t="str">
        <x:v>DA</x:v>
      </x:c>
      <x:c r="B210" s="9" t="str">
        <x:v>DA-024</x:v>
      </x:c>
      <x:c r="C210" s="9" t="str">
        <x:v>reporting_tools</x:v>
      </x:c>
      <x:c r="D210" s="9" t="str">
        <x:v>Tableau</x:v>
      </x:c>
      <x:c r="E210" s="17" t="str">
        <x:v>Required</x:v>
      </x:c>
      <x:c r="F210" s="17" t="str">
        <x:v>methodologies, and BI principles Experience working with reporting and visualisation tools such as Power BI, Tableau, Looker Studio, Google Analytics, or similar platforms Strong Excel and SQL skills for data extraction, manip</x:v>
      </x:c>
    </x:row>
    <x:row r="211">
      <x:c r="A211" s="9" t="str">
        <x:v>DA</x:v>
      </x:c>
      <x:c r="B211" s="9" t="str">
        <x:v>DA-024</x:v>
      </x:c>
      <x:c r="C211" s="9" t="str">
        <x:v>reporting_tools</x:v>
      </x:c>
      <x:c r="D211" s="9" t="str">
        <x:v>Google Data Studio / Looker Studio</x:v>
      </x:c>
      <x:c r="E211" s="17" t="str">
        <x:v>Unclear / not classified</x:v>
      </x:c>
      <x:c r="F211" s="17" t="str">
        <x:v>ogies, and BI principles Experience working with reporting and visualisation tools such as Power BI, Tableau, Looker Studio, Google Analytics, or similar platforms Strong Excel and SQL skills for data extraction, manipulation, analys</x:v>
      </x:c>
    </x:row>
    <x:row r="212">
      <x:c r="A212" s="9" t="str">
        <x:v>DA</x:v>
      </x:c>
      <x:c r="B212" s="9" t="str">
        <x:v>DA-024</x:v>
      </x:c>
      <x:c r="C212" s="9" t="str">
        <x:v>tools</x:v>
      </x:c>
      <x:c r="D212" s="9" t="str">
        <x:v>Excel</x:v>
      </x:c>
      <x:c r="E212" s="17" t="str">
        <x:v>Required</x:v>
      </x:c>
      <x:c r="F212" s="17" t="str">
        <x:v>d visualisation tools such as Power BI, Tableau, Looker Studio, Google Analytics, or similar platforms Strong Excel and SQL skills for data extraction, manipulation, analysis, and reporting Experience working with large datas</x:v>
      </x:c>
    </x:row>
    <x:row r="213">
      <x:c r="A213" s="9" t="str">
        <x:v>DA</x:v>
      </x:c>
      <x:c r="B213" s="9" t="str">
        <x:v>DA-025</x:v>
      </x:c>
      <x:c r="C213" s="9" t="str">
        <x:v>core_skills</x:v>
      </x:c>
      <x:c r="D213" s="9" t="str">
        <x:v>SQL</x:v>
      </x:c>
      <x:c r="E213" s="17" t="str">
        <x:v>Unclear / not classified</x:v>
      </x:c>
      <x:c r="F213" s="17" t="str">
        <x:v>BI Analyst (Power BI, Tableau, SQL) EvdB</x:v>
      </x:c>
    </x:row>
    <x:row r="214">
      <x:c r="A214" s="9" t="str">
        <x:v>DA</x:v>
      </x:c>
      <x:c r="B214" s="9" t="str">
        <x:v>DA-025</x:v>
      </x:c>
      <x:c r="C214" s="9" t="str">
        <x:v>reporting_tools</x:v>
      </x:c>
      <x:c r="D214" s="9" t="str">
        <x:v>Power BI</x:v>
      </x:c>
      <x:c r="E214" s="17" t="str">
        <x:v>Unclear / not classified</x:v>
      </x:c>
      <x:c r="F214" s="17" t="str">
        <x:v>BI Analyst (Power BI, Tableau, SQL) EvdB</x:v>
      </x:c>
    </x:row>
    <x:row r="215">
      <x:c r="A215" s="9" t="str">
        <x:v>DA</x:v>
      </x:c>
      <x:c r="B215" s="9" t="str">
        <x:v>DA-025</x:v>
      </x:c>
      <x:c r="C215" s="9" t="str">
        <x:v>reporting_tools</x:v>
      </x:c>
      <x:c r="D215" s="9" t="str">
        <x:v>Tableau</x:v>
      </x:c>
      <x:c r="E215" s="17" t="str">
        <x:v>Unclear / not classified</x:v>
      </x:c>
      <x:c r="F215" s="17" t="str">
        <x:v>BI Analyst (Power BI, Tableau, SQL) EvdB</x:v>
      </x:c>
    </x:row>
    <x:row r="216">
      <x:c r="A216" s="9" t="str">
        <x:v>DA</x:v>
      </x:c>
      <x:c r="B216" s="9" t="str">
        <x:v>SE-023</x:v>
      </x:c>
      <x:c r="C216" s="9" t="str">
        <x:v>core_skills</x:v>
      </x:c>
      <x:c r="D216" s="9" t="str">
        <x:v>Python</x:v>
      </x:c>
      <x:c r="E216" s="17" t="str">
        <x:v>Unclear / not classified</x:v>
      </x:c>
      <x:c r="F216" s="17" t="str">
        <x:v>Skill not present in captured requirement context</x:v>
      </x:c>
    </x:row>
    <x:row r="217">
      <x:c r="A217" s="9" t="str">
        <x:v>DA</x:v>
      </x:c>
      <x:c r="B217" s="9" t="str">
        <x:v>SE-023</x:v>
      </x:c>
      <x:c r="C217" s="9" t="str">
        <x:v>core_skills</x:v>
      </x:c>
      <x:c r="D217" s="9" t="str">
        <x:v>SQL</x:v>
      </x:c>
      <x:c r="E217" s="17" t="str">
        <x:v>Unclear / not classified</x:v>
      </x:c>
      <x:c r="F217" s="17" t="str">
        <x:v>Skill not present in captured requirement context</x:v>
      </x:c>
    </x:row>
    <x:row r="218">
      <x:c r="A218" s="9" t="str">
        <x:v>DA</x:v>
      </x:c>
      <x:c r="B218" s="9" t="str">
        <x:v>SE-023</x:v>
      </x:c>
      <x:c r="C218" s="9" t="str">
        <x:v>tools</x:v>
      </x:c>
      <x:c r="D218" s="9" t="str">
        <x:v>Azure</x:v>
      </x:c>
      <x:c r="E218" s="17" t="str">
        <x:v>Unclear / not classified</x:v>
      </x:c>
      <x:c r="F218" s="17" t="str">
        <x:v>Skill not present in captured requirement context</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24" hidden="0" customWidth="1"/>
    <x:col min="4" max="4" width="24" hidden="0" customWidth="1"/>
    <x:col min="5" max="5" width="14" hidden="0" customWidth="1"/>
    <x:col min="6" max="6" width="14" hidden="0" customWidth="1"/>
    <x:col min="7" max="7" width="30"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24" hidden="0" customWidth="1"/>
    <x:col min="19" max="19" width="24" hidden="0" customWidth="1"/>
    <x:col min="20" max="20" width="24" hidden="0" customWidth="1"/>
    <x:col min="21" max="21" width="24" hidden="0" customWidth="1"/>
    <x:col min="22" max="22" width="15" hidden="0" customWidth="1"/>
    <x:col min="23" max="23" width="15" hidden="0" customWidth="1"/>
    <x:col min="24" max="24" width="15" hidden="0" customWidth="1"/>
  </x:cols>
  <x:sheetData>
    <x:row r="1">
      <x:c r="A1" s="13" t="str">
        <x:v>Post ID</x:v>
      </x:c>
      <x:c r="B1" s="13" t="str">
        <x:v>Job Title (as written)</x:v>
      </x:c>
      <x:c r="C1" s="13" t="str">
        <x:v>Company Name</x:v>
      </x:c>
      <x:c r="D1" s="13" t="str">
        <x:v>Location</x:v>
      </x:c>
      <x:c r="E1" s="13" t="str">
        <x:v>Work Type</x:v>
      </x:c>
      <x:c r="F1" s="13" t="str">
        <x:v>Source / Job Board</x:v>
      </x:c>
      <x:c r="G1" s="13" t="str">
        <x:v>Job Post URL</x:v>
      </x:c>
      <x:c r="H1" s="13" t="str">
        <x:v>Date Posted</x:v>
      </x:c>
      <x:c r="I1" s="13" t="str">
        <x:v>Date Collected</x:v>
      </x:c>
      <x:c r="J1" s="13" t="str">
        <x:v>Experience Required (years)</x:v>
      </x:c>
      <x:c r="K1" s="13" t="str">
        <x:v>Qualification Required</x:v>
      </x:c>
      <x:c r="L1" s="13" t="str">
        <x:v>Programming Languages Mentioned</x:v>
      </x:c>
      <x:c r="M1" s="13" t="str">
        <x:v>Frameworks/Libraries Mentioned</x:v>
      </x:c>
      <x:c r="N1" s="13" t="str">
        <x:v>Git/GitHub Explicitly Named (Y/N)</x:v>
      </x:c>
      <x:c r="O1" s="13" t="str">
        <x:v>Tools &amp; Platforms Mentioned</x:v>
      </x:c>
      <x:c r="P1" s="13" t="str">
        <x:v>Portfolio/GitHub Requested (Y/N)</x:v>
      </x:c>
      <x:c r="Q1" s="13" t="str">
        <x:v>Requirement Level (Required/Preferred/Not Mentioned)</x:v>
      </x:c>
      <x:c r="R1" s="13" t="str">
        <x:v>Soft Skills Mentioned (verbatim)</x:v>
      </x:c>
      <x:c r="S1" s="13" t="str">
        <x:v>Specific Readiness Signals (verbatim, beyond generic buzzwords)</x:v>
      </x:c>
      <x:c r="T1" s="13" t="str">
        <x:v>Key Requirements Paragraph (paste)</x:v>
      </x:c>
      <x:c r="U1" s="13" t="str">
        <x:v>Notes / Anything Unusual</x:v>
      </x:c>
      <x:c r="V1" s="13" t="str">
        <x:v>Helper: Any Named Language</x:v>
      </x:c>
      <x:c r="W1" s="13" t="str">
        <x:v>Helper: Any Framework</x:v>
      </x:c>
      <x:c r="X1" s="13" t="str">
        <x:v>Helper: Deployment Tool</x:v>
      </x:c>
    </x:row>
    <x:row r="2">
      <x:c r="A2" s="14" t="str">
        <x:v>SE-001</x:v>
      </x:c>
      <x:c r="B2" s="14" t="str">
        <x:v>Junior Software Developer</x:v>
      </x:c>
      <x:c r="C2" s="14" t="str">
        <x:v>Network IT</x:v>
      </x:c>
      <x:c r="D2" s="14" t="str">
        <x:v>Johannesburg North, Gauteng</x:v>
      </x:c>
      <x:c r="E2" s="14" t="str">
        <x:v>Hybrid</x:v>
      </x:c>
      <x:c r="F2" s="14" t="str">
        <x:v>PNet</x:v>
      </x:c>
      <x:c r="G2" s="14" t="str">
        <x:v>https://www.pnet.co.za/jobs--Junior-Software-Developer-Johannesburg-North-Network-IT--4239962-inline.html?rltr=1_1_25_seorl_m_0_0_0_0_0_0</x:v>
      </x:c>
      <x:c r="H2" s="14" t="str">
        <x:v>2026-07-27 00:00:00</x:v>
      </x:c>
      <x:c r="I2" s="14" t="str">
        <x:v>2026-08-05 00:00:00</x:v>
      </x:c>
      <x:c r="J2" s="14" t="str">
        <x:v>1+</x:v>
      </x:c>
      <x:c r="K2" s="14" t="str">
        <x:v>Degree required</x:v>
      </x:c>
      <x:c r="L2" s="14" t="str">
        <x:v>C#, SQL</x:v>
      </x:c>
      <x:c r="M2" s="14" t="str">
        <x:v>.NET</x:v>
      </x:c>
      <x:c r="N2" s="14" t="str">
        <x:v>N</x:v>
      </x:c>
      <x:c r="O2" s="14" t="str">
        <x:v>SQL Server</x:v>
      </x:c>
      <x:c r="P2" s="14" t="str">
        <x:v>N</x:v>
      </x:c>
      <x:c r="Q2" s="14" t="str">
        <x:v>Not Mentioned</x:v>
      </x:c>
      <x:c r="R2" s="14" t="str">
        <x:v>collaborative, problem-solving, interpersonal skills, Self-motivated, attention to detail</x:v>
      </x:c>
      <x:c r="S2" s="14" t="str">
        <x:v>eager to learn</x:v>
      </x:c>
      <x:c r="T2" s="14" t="str">
        <x:v>Join a technology-driven organisation that develops specialised software solutions designed to improve operational efficiency and business performance. You'll become part of a close-knit development team focused on delivering innovative products and enhancing existing systems that solve real-world business challenges.This role offers hands-on exposure to the complete software development lifecycle, from requirements gathering and solution design through to testing, deployment, and support. You'll have the opportunity to sharpen your technical skills while working on data-driven applications and collaborating with experienced professionals in a supportive environment. If you're eager to learn, enjoy solving complex problems, and want to contribute to the development of meaningful software solutions, this opportunity is for you.</x:v>
      </x:c>
      <x:c r="U2" s="14" t="str"/>
      <x:c r="V2" s="14" t="str">
        <x:v>Y</x:v>
      </x:c>
      <x:c r="W2" s="14" t="str">
        <x:v>Y</x:v>
      </x:c>
      <x:c r="X2" s="14" t="str">
        <x:v>N</x:v>
      </x:c>
    </x:row>
    <x:row r="3">
      <x:c r="A3" s="15" t="str">
        <x:v>SE-002</x:v>
      </x:c>
      <x:c r="B3" s="15" t="str">
        <x:v>Junior Software Developer (AI Development Pathway)</x:v>
      </x:c>
      <x:c r="C3" s="15" t="str">
        <x:v>Accredited Resource Consulting Services</x:v>
      </x:c>
      <x:c r="D3" s="15" t="str">
        <x:v>Johannesburg Northern Suburbs, Gauteng</x:v>
      </x:c>
      <x:c r="E3" s="15" t="str"/>
      <x:c r="F3" s="15" t="str">
        <x:v>PNet</x:v>
      </x:c>
      <x:c r="G3" s="15" t="str">
        <x:v>https://www.pnet.co.za/jobs--Junior-Software-Developer-AI-Development-Pathway-JHB-Northern-Suburbs-Accredited-Resource-Consulting-Services--4243572-inline.html?rltr=3_3_25_seorl_m_0_0_0_0_0_0</x:v>
      </x:c>
      <x:c r="H3" s="15" t="str">
        <x:v>2026-07-31 00:00:00</x:v>
      </x:c>
      <x:c r="I3" s="15" t="str">
        <x:v>2026-08-05 00:00:00</x:v>
      </x:c>
      <x:c r="J3" s="15" t="str">
        <x:v>0-2</x:v>
      </x:c>
      <x:c r="K3" s="15" t="str">
        <x:v>Degree required</x:v>
      </x:c>
      <x:c r="L3" s="15" t="str">
        <x:v>C#, Java, Python, SQL</x:v>
      </x:c>
      <x:c r="M3" s="15" t="str">
        <x:v>.NET</x:v>
      </x:c>
      <x:c r="N3" s="15" t="str">
        <x:v>Y</x:v>
      </x:c>
      <x:c r="O3" s="15" t="str">
        <x:v>Git/GitHub, Azure, Docker</x:v>
      </x:c>
      <x:c r="P3" s="15" t="str">
        <x:v>Y</x:v>
      </x:c>
      <x:c r="Q3" s="15" t="str">
        <x:v>Preferred</x:v>
      </x:c>
      <x:c r="R3" s="15" t="str">
        <x:v>analytical thinking</x:v>
      </x:c>
      <x:c r="S3" s="15" t="str"/>
      <x:c r="T3" s="15" t="str">
        <x:v>This opportunity is ideal for high-potential graduates or junior developers who demonstrate curiosity, strong analytical thinking, and a passion for emerging technologies. The role is designed to develop successful candidates into AI Software Engineers through hands-on experience and continuous professional growth.</x:v>
      </x:c>
      <x:c r="U3" s="15" t="str">
        <x:v>Evidence verified 2026-08-11. Git/GitHub is explicit and a GitHub portfolio is beneficial (preferred). Work arrangement is not stated in the accessible source, so Work Type remains blank.</x:v>
      </x:c>
      <x:c r="V3" s="15" t="str">
        <x:v>Y</x:v>
      </x:c>
      <x:c r="W3" s="15" t="str">
        <x:v>Y</x:v>
      </x:c>
      <x:c r="X3" s="15" t="str">
        <x:v>Y</x:v>
      </x:c>
    </x:row>
    <x:row r="4">
      <x:c r="A4" s="15" t="str">
        <x:v>SE-003</x:v>
      </x:c>
      <x:c r="B4" s="15" t="str">
        <x:v>Junior Software Development Engineer</x:v>
      </x:c>
      <x:c r="C4" s="15" t="str">
        <x:v>BETsoftware</x:v>
      </x:c>
      <x:c r="D4" s="15" t="str">
        <x:v>Durban, KwaZulu-Natal</x:v>
      </x:c>
      <x:c r="E4" s="15" t="str">
        <x:v>On-site</x:v>
      </x:c>
      <x:c r="F4" s="15" t="str">
        <x:v>LinkedIn</x:v>
      </x:c>
      <x:c r="G4" s="15" t="str">
        <x:v>https://www.linkedin.com/jobs/view/4410616189/?alternateChannel=search&amp;eBP=CwEAAAGf0VK-WxThRSnpzKSt-fYUeCZslv97ktdVJtqt8eqyYIAo1XyHeXmgB3zQuMLokjh6fIG6BSAEF2TkBfov5FOOe1poK3GU8VRrt1l0vv0RJEFvnfKO4P1faJRWdzx7Mbcz61UJUeNCdyeOka5h4Iu58bMZIhsMeP4pCrgENjhu94OVuqOaKHTb9FPdmxJrdZCFhPER8jgQDeCwr94WAtrmylBjxmyzNHjtNahu_nXPEgLsbUn885ZdBDH8QVAXRrDW4zViPrexEg0_NW5v9D4wT1K5xDfHpaLpoWWcdicRgsAu0Hm2qhJIYQoGXpAsAaNnyHFJHXKLjnRcYiLgH1Scp0FOpSKEReJ4xKOOsF7lDuR9C2hF0gHQa5CHJS1pkf7kXFtXfUEjXpCH6YH_Tc84bhJ1bazbTydIcgQokHm7rXWgHIDNWqfWs56MTIM_fOP05fy60n8pqILi5JDaqYoTp_K8hfgIR63KZTkAjOipQDUjGR6hlNBj&amp;refId=29aaEmuHTFpHvocyM8QSkg%3D%3D&amp;trackingId=8vBPG52zFp90uVtXNU%2FnwA%3D%3D</x:v>
      </x:c>
      <x:c r="H4" s="15" t="str">
        <x:v>2026-07-21 00:00:00</x:v>
      </x:c>
      <x:c r="I4" s="15" t="str">
        <x:v>2026-08-05 00:00:00</x:v>
      </x:c>
      <x:c r="J4" s="15" t="str">
        <x:v>1+</x:v>
      </x:c>
      <x:c r="K4" s="15" t="str">
        <x:v>Degree required</x:v>
      </x:c>
      <x:c r="L4" s="15" t="str"/>
      <x:c r="M4" s="15" t="str"/>
      <x:c r="N4" s="15" t="str">
        <x:v>N</x:v>
      </x:c>
      <x:c r="O4" s="15" t="str"/>
      <x:c r="P4" s="15" t="str">
        <x:v>N</x:v>
      </x:c>
      <x:c r="Q4" s="15" t="str">
        <x:v>Not Mentioned</x:v>
      </x:c>
      <x:c r="R4" s="15" t="str">
        <x:v>written and verbal communication skills, communication skills, attention to detail, collaboration, Problem-solving, critical thinking, adaptability</x:v>
      </x:c>
      <x:c r="S4" s="15" t="str">
        <x:v>cross-functional collaboration</x:v>
      </x:c>
      <x:c r="T4" s="15" t="str">
        <x:v>Ensure all steps are taken to reduce the occurrence of faults due to misunderstood requirements, design errors, and implementation errors.</x:v>
      </x:c>
      <x:c r="U4" s="15" t="str">
        <x:v>Evidence verified 2026-08-11. The accessible full listing does not explicitly name a programming language or framework; contaminated structured values were cleared.</x:v>
      </x:c>
      <x:c r="V4" s="15" t="str">
        <x:v>N</x:v>
      </x:c>
      <x:c r="W4" s="15" t="str">
        <x:v>N</x:v>
      </x:c>
      <x:c r="X4" s="15" t="str">
        <x:v>N</x:v>
      </x:c>
    </x:row>
    <x:row r="5">
      <x:c r="A5" s="15" t="str">
        <x:v>SE-004</x:v>
      </x:c>
      <x:c r="B5" s="15" t="str">
        <x:v>Junior Software &amp; Systems Engineer</x:v>
      </x:c>
      <x:c r="C5" s="15" t="str">
        <x:v>Hatch</x:v>
      </x:c>
      <x:c r="D5" s="15" t="str">
        <x:v>Johannesburg, Gauteng</x:v>
      </x:c>
      <x:c r="E5" s="15" t="str">
        <x:v>Hybrid</x:v>
      </x:c>
      <x:c r="F5" s="15" t="str">
        <x:v>LinkedIn</x:v>
      </x:c>
      <x:c r="G5" s="15" t="str">
        <x:v>https://www.linkedin.com/jobs/view/4444388422/?alternateChannel=search&amp;eBP=CwEAAAGf1dBQVMvrLGsHCNTq_HcrGwbB-DaV93DoeiKW3GM4N9IzW7GMsj77rEyKFV-b74iHeuj180Ski3tkeOg3In-Z3qVFiyXkJFlATga4yRJiZtyyQhwptBAvBSTfsgh6IKiRmdCVoe8JG8gnurlZto6Cb1vEG2JjFthzJeiy_mZauv48iOSxXfgJKKsfXxF5_-4ebzCCaBwRxbohCCosEm6-yPWy0ZXcCkEX-5TYsuj8mHla38v8KiJ-XIxWhIEfuXTiixoHJlkLpVAN-pxI5tLhp6j3Y3nJpvjbm_uIva2-BmpduY-JLf7-mXtDIudJV5iFFnTHSdvvd9c2ISHQo3DgYfqhZCw_9js2PvQ-FfLfz8L-tApPza9vWu8r6YIT7vtQB0pz7nHdS3OpVgtU4wWLpCV4BWaTQ3AYbZCDSyo7gkUyNeccLNR8zp3bUkeWA8LoDM-XzsyAuKnhM32hfFNFzTZfV_Q9slDjL5nzqbzrAiu1MH8WatJB1QE&amp;refId=PCXg4lQAj1NiYbFZ%2FZ%2FuEQ%3D%3D&amp;trackingId=CXE%2BN0FHlKz1jjvU0Yi7IA%3D%3D</x:v>
      </x:c>
      <x:c r="H5" s="15" t="str">
        <x:v>2026-07-30 00:00:00</x:v>
      </x:c>
      <x:c r="I5" s="15" t="str">
        <x:v>2026-08-06 00:00:00</x:v>
      </x:c>
      <x:c r="J5" s="15" t="str">
        <x:v>1-2</x:v>
      </x:c>
      <x:c r="K5" s="15" t="str">
        <x:v>Degree required</x:v>
      </x:c>
      <x:c r="L5" s="15" t="str">
        <x:v>C#, Java, Python</x:v>
      </x:c>
      <x:c r="M5" s="15" t="str"/>
      <x:c r="N5" s="15" t="str">
        <x:v>N</x:v>
      </x:c>
      <x:c r="O5" s="15" t="str">
        <x:v>Linux</x:v>
      </x:c>
      <x:c r="P5" s="15" t="str">
        <x:v>N</x:v>
      </x:c>
      <x:c r="Q5" s="15" t="str">
        <x:v>Not Mentioned</x:v>
      </x:c>
      <x:c r="R5" s="15" t="str">
        <x:v>problem-solving skills, Collaborate</x:v>
      </x:c>
      <x:c r="S5" s="15" t="str">
        <x:v>Graduate Programme</x:v>
      </x:c>
      <x:c r="T5" s="15" t="str">
        <x:v>Don't meet every single requirement? You don't need to. At Hatch, we are building a diverse, inclusive workplace that fosters innovation. If you're interested in this role, we encourage you to apply even if your past experiences don't perfectly align with the skills we've listed.</x:v>
      </x:c>
      <x:c r="U5" s="15" t="str"/>
      <x:c r="V5" s="15" t="str">
        <x:v>Y</x:v>
      </x:c>
      <x:c r="W5" s="15" t="str">
        <x:v>N</x:v>
      </x:c>
      <x:c r="X5" s="15" t="str">
        <x:v>N</x:v>
      </x:c>
    </x:row>
    <x:row r="6">
      <x:c r="A6" s="15" t="str">
        <x:v>SE-005</x:v>
      </x:c>
      <x:c r="B6" s="15" t="str">
        <x:v>Junior Software Engineer</x:v>
      </x:c>
      <x:c r="C6" s="15" t="str">
        <x:v>Klipboard</x:v>
      </x:c>
      <x:c r="D6" s="15" t="str">
        <x:v>Johannesburg, Gauteng</x:v>
      </x:c>
      <x:c r="E6" s="15" t="str">
        <x:v>Hybrid</x:v>
      </x:c>
      <x:c r="F6" s="15" t="str">
        <x:v>LinkedIn</x:v>
      </x:c>
      <x:c r="G6" s="15" t="str">
        <x:v>https://www.linkedin.com/jobs/view/4440587941/?alternateChannel=search&amp;eBP=CwEAAAGf1dzHsHiazkurFPQrjxrpbakhEvCrG72DOUVJ-yroSdtMjmbVSKBe9zB4Sp0QkiKePnAdKm0hqAxSRj4YL3n989lBl5q8eVSt_N9YuGR8CxKK8mMlx0gxzr-yssoP6kMHDBaX03CT6lrfgSgq9nFTe_GK4OAbtZGlRuhLHt-0whNTs9UrcEWn9ju1qDPt79X0Klku4hT9FsIB_QnaqA7FtdgltVmnj9GHdZDyul7qczzoSE8ocFA8E3Um-ZEFNGtdiI0lmABelo1bpFu6N6QCK2vesOMakE0eKBYn2ytj5wh8CTdjDL07iQQgYvO2Mmd2AQT2Cw2J1i6VCcNLhBE8LA0h0DNUd8qvijflTTyu3vegV1VhChpbFDSxqgOKMzHSwnfEmkRw5jTmu5g7jv8VSMPIevixBqdgvTOsmQWfs_YAJSGpqjC3APx_oA5NM6J6my3lodZ29anypCysVff7Ul49fz-Xur752JFkBjntUZuCjx17XYZR&amp;refId=P7ZKohsZQeonhmLqFm61dg%3D%3D&amp;trackingId=8Jfg2e1YGFE6b93jlLi%2BOA%3D%3D</x:v>
      </x:c>
      <x:c r="H6" s="15" t="str">
        <x:v>2026-08-05 00:00:00</x:v>
      </x:c>
      <x:c r="I6" s="15" t="str">
        <x:v>2026-08-06 00:00:00</x:v>
      </x:c>
      <x:c r="J6" s="15" t="str">
        <x:v>1-2</x:v>
      </x:c>
      <x:c r="K6" s="15" t="str">
        <x:v>No qualification specified</x:v>
      </x:c>
      <x:c r="L6" s="15" t="str">
        <x:v>C#, SQL, JavaScript, TypeScript, Java, Python, PHP, HTML/CSS</x:v>
      </x:c>
      <x:c r="M6" s="15" t="str">
        <x:v>.NET, React, Angular, Django</x:v>
      </x:c>
      <x:c r="N6" s="15" t="str">
        <x:v>Y</x:v>
      </x:c>
      <x:c r="O6" s="15" t="str">
        <x:v>Azure, Git/GitHub, Jira, SQL Server, Docker, AWS</x:v>
      </x:c>
      <x:c r="P6" s="15" t="str">
        <x:v>N</x:v>
      </x:c>
      <x:c r="Q6" s="15" t="str">
        <x:v>Not Mentioned</x:v>
      </x:c>
      <x:c r="R6" s="15" t="str">
        <x:v>collaboration, interpersonal skills, Problem-solving</x:v>
      </x:c>
      <x:c r="S6" s="15" t="str"/>
      <x:c r="T6" s="15" t="str">
        <x:v>Research shows that women and other underrepresented groups are less likely to apply for a role unless they meet every listed requirement. However, we recognise that skills and experience come in many forms, and we encourage you to apply even if you don’t meet every criterion. If you are passionate about this role and believe you have the right mindset and transferrable skills, we would love to hear from you!</x:v>
      </x:c>
      <x:c r="U6" s="15" t="str"/>
      <x:c r="V6" s="15" t="str">
        <x:v>Y</x:v>
      </x:c>
      <x:c r="W6" s="15" t="str">
        <x:v>Y</x:v>
      </x:c>
      <x:c r="X6" s="15" t="str">
        <x:v>Y</x:v>
      </x:c>
    </x:row>
    <x:row r="7">
      <x:c r="A7" s="15" t="str">
        <x:v>SE-007</x:v>
      </x:c>
      <x:c r="B7" s="15" t="str">
        <x:v>Junior Web Developer</x:v>
      </x:c>
      <x:c r="C7" s="15" t="str">
        <x:v>JHC Consulting</x:v>
      </x:c>
      <x:c r="D7" s="15" t="str">
        <x:v>Cape Town, Western Cape</x:v>
      </x:c>
      <x:c r="E7" s="15" t="str">
        <x:v>Remote</x:v>
      </x:c>
      <x:c r="F7" s="15" t="str">
        <x:v>LinkedIn</x:v>
      </x:c>
      <x:c r="G7" s="15" t="str">
        <x:v>https://www.linkedin.com/jobs/view/4449368586/?alternateChannel=search&amp;eBP=NOT_ELIGIBLE_FOR_CHARGING&amp;refId=4acqsRNFKht8AwkxOqP1tw%3D%3D&amp;trackingId=qi6UBYkHWtPUCBj6U1Oy9Q%3D%3D</x:v>
      </x:c>
      <x:c r="H7" s="15" t="str">
        <x:v>2026-08-06 00:00:00</x:v>
      </x:c>
      <x:c r="I7" s="15" t="str">
        <x:v>2026-08-06 00:00:00</x:v>
      </x:c>
      <x:c r="J7" s="15" t="str">
        <x:v>1</x:v>
      </x:c>
      <x:c r="K7" s="15" t="str">
        <x:v>Degree required</x:v>
      </x:c>
      <x:c r="L7" s="15" t="str">
        <x:v>HTML/CSS, JavaScript, C#, PHP, Java, Python</x:v>
      </x:c>
      <x:c r="M7" s="15" t="str">
        <x:v>React, .NET, Django</x:v>
      </x:c>
      <x:c r="N7" s="15" t="str">
        <x:v>N</x:v>
      </x:c>
      <x:c r="O7" s="15" t="str"/>
      <x:c r="P7" s="15" t="str">
        <x:v>N</x:v>
      </x:c>
      <x:c r="Q7" s="15" t="str">
        <x:v>Not Mentioned</x:v>
      </x:c>
      <x:c r="R7" s="15" t="str"/>
      <x:c r="S7" s="15" t="str">
        <x:v>client-facing, working independently</x:v>
      </x:c>
      <x:c r="T7" s="15" t="str">
        <x:v>We are seeking an entry level professional who possesses a fundamental understanding of web technologies and a deep respect for the clarity of information. You should have a working knowledge of HTML, CSS, and basic JavaScript. Familiarity with content management systems or static site generators is helpful, as is an interest in how technical architecture affects the readability of long-form text. We value candidates who treat code with the same scrutiny we apply to our prose. You do not need years of professional experience, but you must demonstrate the ability to follow technical documentation and solve problems through logical deduction. Strong written English is a requirement for every member of the firm, including those in technical roles. You should be comfortable working independently and managing your own schedule to meet the deadlines of a quiet, deliberate practice.</x:v>
      </x:c>
      <x:c r="U7" s="15" t="str"/>
      <x:c r="V7" s="15" t="str">
        <x:v>Y</x:v>
      </x:c>
      <x:c r="W7" s="15" t="str">
        <x:v>Y</x:v>
      </x:c>
      <x:c r="X7" s="15" t="str">
        <x:v>N</x:v>
      </x:c>
    </x:row>
    <x:row r="8">
      <x:c r="A8" s="15" t="str">
        <x:v>SE-008</x:v>
      </x:c>
      <x:c r="B8" s="15" t="str">
        <x:v>Intern Software Development</x:v>
      </x:c>
      <x:c r="C8" s="15" t="str">
        <x:v>Dentsu</x:v>
      </x:c>
      <x:c r="D8" s="15" t="str">
        <x:v>Cape Town, Western Cape</x:v>
      </x:c>
      <x:c r="E8" s="15" t="str">
        <x:v>On-site</x:v>
      </x:c>
      <x:c r="F8" s="15" t="str">
        <x:v>LinkedIn</x:v>
      </x:c>
      <x:c r="G8" s="15" t="str">
        <x:v>https://www.linkedin.com/jobs/view/4446794799/?alternateChannel=search&amp;eBP=NOT_ELIGIBLE_FOR_CHARGING&amp;refId=4acqsRNFKht8AwkxOqP1tw%3D%3D&amp;trackingId=kKBMFSCm6PjfROEbk2Vn6Q%3D%3D</x:v>
      </x:c>
      <x:c r="H8" s="15" t="str">
        <x:v>2026-07-31 00:00:00</x:v>
      </x:c>
      <x:c r="I8" s="15" t="str">
        <x:v>2026-08-06 00:00:00</x:v>
      </x:c>
      <x:c r="J8" s="15" t="str">
        <x:v>0</x:v>
      </x:c>
      <x:c r="K8" s="15" t="str">
        <x:v>Degree required</x:v>
      </x:c>
      <x:c r="L8" s="15" t="str">
        <x:v>Python, TypeScript, JavaScript, C#, Java</x:v>
      </x:c>
      <x:c r="M8" s="15" t="str">
        <x:v>React, .NET</x:v>
      </x:c>
      <x:c r="N8" s="15" t="str">
        <x:v>Y</x:v>
      </x:c>
      <x:c r="O8" s="15" t="str">
        <x:v>Azure, Git/GitHub, AWS</x:v>
      </x:c>
      <x:c r="P8" s="15" t="str">
        <x:v>N</x:v>
      </x:c>
      <x:c r="Q8" s="15" t="str">
        <x:v>Not Mentioned</x:v>
      </x:c>
      <x:c r="R8" s="15" t="str">
        <x:v>collaborative, problem-solving, Analytical thinking, Teamwork, Attention to detail, Adaptability, Time management</x:v>
      </x:c>
      <x:c r="S8" s="15" t="str">
        <x:v>Continuous learning, willingness to learn</x:v>
      </x:c>
      <x:c r="T8" s="15" t="str">
        <x:v>As a Software Engineering Intern at Dentsu Data, you’ll gain hands-on experience building AI, data and cloud-based products used by clients across Africa and globally. Working alongside experienced engineers, data scientists and AI specialists, you’ll contribute to real product features while developing your skills in areas such as Python, TypeScript, APIs and Microsoft Azure. You’ll participate in code reviews, testing and collaborative problem-solving, gaining exposure to modern software engineering practices.</x:v>
      </x:c>
      <x:c r="U8" s="15" t="str"/>
      <x:c r="V8" s="15" t="str">
        <x:v>Y</x:v>
      </x:c>
      <x:c r="W8" s="15" t="str">
        <x:v>Y</x:v>
      </x:c>
      <x:c r="X8" s="15" t="str">
        <x:v>Y</x:v>
      </x:c>
    </x:row>
    <x:row r="9">
      <x:c r="A9" s="15" t="str">
        <x:v>SE-011</x:v>
      </x:c>
      <x:c r="B9" s="15" t="str">
        <x:v>Junior Software Developer</x:v>
      </x:c>
      <x:c r="C9" s="15" t="str">
        <x:v>Peoplesync (Pty) Ltd</x:v>
      </x:c>
      <x:c r="D9" s="15" t="str">
        <x:v>Pretoria, Gauteng</x:v>
      </x:c>
      <x:c r="E9" s="15" t="str">
        <x:v>Hybrid</x:v>
      </x:c>
      <x:c r="F9" s="15" t="str">
        <x:v>PNet</x:v>
      </x:c>
      <x:c r="G9" s="15" t="str">
        <x:v>https://www.pnet.co.za/jobs--Junior-Software-Developer-Northcliff-Peoplesync-Pty-Ltd--4199245-inline.html?rltr=4_4_25_seorl_m_0_0_0_0_0_0</x:v>
      </x:c>
      <x:c r="H9" s="15" t="str">
        <x:v>2026-07-25 00:00:00</x:v>
      </x:c>
      <x:c r="I9" s="15" t="str">
        <x:v>2026-08-06 00:00:00</x:v>
      </x:c>
      <x:c r="J9" s="15" t="str">
        <x:v>0-1</x:v>
      </x:c>
      <x:c r="K9" s="15" t="str">
        <x:v>No qualification specified</x:v>
      </x:c>
      <x:c r="L9" s="15" t="str">
        <x:v>JavaScript, Python, Java, C#, HTML/CSS, SQL</x:v>
      </x:c>
      <x:c r="M9" s="15" t="str"/>
      <x:c r="N9" s="15" t="str">
        <x:v>Y</x:v>
      </x:c>
      <x:c r="O9" s="15" t="str">
        <x:v>Git/GitHub, PostgreSQL</x:v>
      </x:c>
      <x:c r="P9" s="15" t="str">
        <x:v>Y</x:v>
      </x:c>
      <x:c r="Q9" s="15" t="str">
        <x:v>Preferred</x:v>
      </x:c>
      <x:c r="R9" s="15" t="str">
        <x:v>Collaborate, Problem-Solving, communication skills</x:v>
      </x:c>
      <x:c r="S9" s="15" t="str">
        <x:v>Continuous Learning</x:v>
      </x:c>
      <x:c r="T9" s="15" t="str">
        <x:v>We are looking for an enthusiastic and driven Junior Software Developer to join our engineering team. In this role, you will work closely with senior developers and product managers to build and maintain high-quality software. This is an excellent opportunity for an entry-level developer to gain hands-on experience in a professional environment, learn industry best practices, and level up their coding skills.</x:v>
      </x:c>
      <x:c r="U9" s="15" t="str">
        <x:v>Evidence verified 2026-08-11 using a matching source mirror because the original PNet page is unavailable. Git is explicit; a portfolio or GitHub link appears under nice-to-haves (preferred).</x:v>
      </x:c>
      <x:c r="V9" s="15" t="str">
        <x:v>Y</x:v>
      </x:c>
      <x:c r="W9" s="15" t="str">
        <x:v>N</x:v>
      </x:c>
      <x:c r="X9" s="15" t="str">
        <x:v>N</x:v>
      </x:c>
    </x:row>
    <x:row r="10">
      <x:c r="A10" s="15" t="str">
        <x:v>SE-012</x:v>
      </x:c>
      <x:c r="B10" s="15" t="str">
        <x:v>AI / Software Engineer – Junior / Graduate</x:v>
      </x:c>
      <x:c r="C10" s="15" t="str">
        <x:v>Network IT</x:v>
      </x:c>
      <x:c r="D10" s="15" t="str">
        <x:v>Johannesburg North, Gauteng</x:v>
      </x:c>
      <x:c r="E10" s="15" t="str">
        <x:v>Remote</x:v>
      </x:c>
      <x:c r="F10" s="15" t="str">
        <x:v>PNet</x:v>
      </x:c>
      <x:c r="G10" s="15" t="str">
        <x:v>https://www.pnet.co.za/jobs--AI-Software-Engineer-Junior-Graduate-Johannesburg-North-Network-IT--4240345-inline.html?rltr=6_6_25_seorl_m_0_0_0_0_0_0</x:v>
      </x:c>
      <x:c r="H10" s="15" t="str">
        <x:v>2026-07-27 00:00:00</x:v>
      </x:c>
      <x:c r="I10" s="15" t="str">
        <x:v>2026-08-06 00:00:00</x:v>
      </x:c>
      <x:c r="J10" s="15" t="str">
        <x:v>0</x:v>
      </x:c>
      <x:c r="K10" s="15" t="str">
        <x:v>Degree required</x:v>
      </x:c>
      <x:c r="L10" s="15" t="str">
        <x:v>Python, C#</x:v>
      </x:c>
      <x:c r="M10" s="15" t="str"/>
      <x:c r="N10" s="15" t="str">
        <x:v>Y</x:v>
      </x:c>
      <x:c r="O10" s="15" t="str">
        <x:v>Git/GitHub</x:v>
      </x:c>
      <x:c r="P10" s="15" t="str">
        <x:v>Y</x:v>
      </x:c>
      <x:c r="Q10" s="15" t="str">
        <x:v>Preferred</x:v>
      </x:c>
      <x:c r="R10" s="15" t="str"/>
      <x:c r="S10" s="15" t="str"/>
      <x:c r="T10" s="15" t="str">
        <x:v>Graduate or Junior engineer looking to build a career in Conversational AI. Hands-on exposure to live production voice and text AI systems, working alongside senior engineers to support agent releases, maintain prompts, configure campaigns, and ensure quality across customer-facing AI interactions</x:v>
      </x:c>
      <x:c r="U10" s="15" t="str">
        <x:v>Evidence verified 2026-08-11. Git is explicit; a GitHub profile or project portfolio is described as highly advantageous (preferred).</x:v>
      </x:c>
      <x:c r="V10" s="15" t="str">
        <x:v>Y</x:v>
      </x:c>
      <x:c r="W10" s="15" t="str">
        <x:v>N</x:v>
      </x:c>
      <x:c r="X10" s="15" t="str">
        <x:v>N</x:v>
      </x:c>
    </x:row>
    <x:row r="11">
      <x:c r="A11" s="15" t="str">
        <x:v>SE-013</x:v>
      </x:c>
      <x:c r="B11" s="15" t="str">
        <x:v>Junior Software Engineer</x:v>
      </x:c>
      <x:c r="C11" s="15" t="str">
        <x:v>Placement Specialist Pty Ltd</x:v>
      </x:c>
      <x:c r="D11" s="15" t="str">
        <x:v>Johannesburg South, Gauteng</x:v>
      </x:c>
      <x:c r="E11" s="15" t="str">
        <x:v>Hybrid</x:v>
      </x:c>
      <x:c r="F11" s="15" t="str">
        <x:v>PNet</x:v>
      </x:c>
      <x:c r="G11" s="15" t="str">
        <x:v>https://www.pnet.co.za/jobs--Junior-Software-Engineer-Bryanston-Placement-Specialist-Pty-Ltd--3980008-inline.html?rltr=7_7_25_seorl_m_0_0_0_0_0_0</x:v>
      </x:c>
      <x:c r="H11" s="15" t="str">
        <x:v>2026-08-03 00:00:00</x:v>
      </x:c>
      <x:c r="I11" s="15" t="str">
        <x:v>2026-08-06 00:00:00</x:v>
      </x:c>
      <x:c r="J11" s="15" t="str">
        <x:v>0</x:v>
      </x:c>
      <x:c r="K11" s="15" t="str">
        <x:v>Degree required</x:v>
      </x:c>
      <x:c r="L11" s="15" t="str">
        <x:v>C#, SQL, HTML/CSS, JavaScript, TypeScript</x:v>
      </x:c>
      <x:c r="M11" s="15" t="str">
        <x:v>Angular, .NET</x:v>
      </x:c>
      <x:c r="N11" s="15" t="str">
        <x:v>N</x:v>
      </x:c>
      <x:c r="O11" s="15" t="str"/>
      <x:c r="P11" s="15" t="str">
        <x:v>N</x:v>
      </x:c>
      <x:c r="Q11" s="15" t="str">
        <x:v>Not Mentioned</x:v>
      </x:c>
      <x:c r="R11" s="15" t="str">
        <x:v>collaborate</x:v>
      </x:c>
      <x:c r="S11" s="15" t="str"/>
      <x:c r="T11" s="15" t="str">
        <x:v>To ensure success as a Junior Software Engineer in this opportunity, you should have a good working knowledge of basic programming languages, the ability to learn new technologies quickly and the ability to work in a team environment. Ultimately a top-class Junior Software Engineer provides valuable support to their team while continually improving their coding and development skills.</x:v>
      </x:c>
      <x:c r="U11" s="15" t="str"/>
      <x:c r="V11" s="15" t="str">
        <x:v>Y</x:v>
      </x:c>
      <x:c r="W11" s="15" t="str">
        <x:v>Y</x:v>
      </x:c>
      <x:c r="X11" s="15" t="str">
        <x:v>N</x:v>
      </x:c>
    </x:row>
    <x:row r="12">
      <x:c r="A12" s="15" t="str">
        <x:v>SE-015</x:v>
      </x:c>
      <x:c r="B12" s="15" t="str">
        <x:v>Application Developer</x:v>
      </x:c>
      <x:c r="C12" s="15" t="str">
        <x:v>Network IT</x:v>
      </x:c>
      <x:c r="D12" s="15" t="str">
        <x:v>Johannesburg North, Gauteng</x:v>
      </x:c>
      <x:c r="E12" s="15" t="str">
        <x:v>Hybrid</x:v>
      </x:c>
      <x:c r="F12" s="15" t="str">
        <x:v>PNet</x:v>
      </x:c>
      <x:c r="G12" s="15" t="str">
        <x:v>https://www.pnet.co.za/jobs--Application-Developer-Johannesburg-North-Network-IT--4237476-inline.html?rltr=15_15_25_seorl_s_0_0_0_0_0_0</x:v>
      </x:c>
      <x:c r="H12" s="15" t="str">
        <x:v>2026-07-22 00:00:00</x:v>
      </x:c>
      <x:c r="I12" s="15" t="str">
        <x:v>2026-08-06 00:00:00</x:v>
      </x:c>
      <x:c r="J12" s="15" t="str">
        <x:v>1</x:v>
      </x:c>
      <x:c r="K12" s="15" t="str">
        <x:v>Degree required</x:v>
      </x:c>
      <x:c r="L12" s="15" t="str">
        <x:v>JavaScript, C#, Python, SQL</x:v>
      </x:c>
      <x:c r="M12" s="15" t="str">
        <x:v>.NET, React</x:v>
      </x:c>
      <x:c r="N12" s="15" t="str">
        <x:v>N</x:v>
      </x:c>
      <x:c r="O12" s="15" t="str">
        <x:v>Azure, MySQL</x:v>
      </x:c>
      <x:c r="P12" s="15" t="str">
        <x:v>N</x:v>
      </x:c>
      <x:c r="Q12" s="15" t="str">
        <x:v>Not Mentioned</x:v>
      </x:c>
      <x:c r="R12" s="15" t="str">
        <x:v>collaborative, problem-solving, Attention to detail, teamwork</x:v>
      </x:c>
      <x:c r="S12" s="15" t="str"/>
      <x:c r="T12" s="15" t="str">
        <x:v>Are you a passionate Junior Developer eager to build innovative web and mobile applications? This is an exciting opportunity to join a collaborative development team where you'll work on impactful projects, expand your technical skills, and contribute to solutions used by clients across the globe.</x:v>
      </x:c>
      <x:c r="U12" s="15" t="str"/>
      <x:c r="V12" s="15" t="str">
        <x:v>Y</x:v>
      </x:c>
      <x:c r="W12" s="15" t="str">
        <x:v>Y</x:v>
      </x:c>
      <x:c r="X12" s="15" t="str">
        <x:v>Y</x:v>
      </x:c>
    </x:row>
    <x:row r="13">
      <x:c r="A13" s="15" t="str">
        <x:v>SE-016</x:v>
      </x:c>
      <x:c r="B13" s="15" t="str">
        <x:v>Intermediate Full - Stack Software Developer</x:v>
      </x:c>
      <x:c r="C13" s="15" t="str">
        <x:v>Sabenza IT Recruitment</x:v>
      </x:c>
      <x:c r="D13" s="15" t="str">
        <x:v>Johannesburg, Gauteng</x:v>
      </x:c>
      <x:c r="E13" s="15" t="str">
        <x:v>On-site</x:v>
      </x:c>
      <x:c r="F13" s="15" t="str">
        <x:v>PNet</x:v>
      </x:c>
      <x:c r="G13" s="15" t="str">
        <x:v>https://www.pnet.co.za/jobs--Intermediate-Full-Stack-Software-Developer-Johannesburg-Sabenza-IT-Recruitment--4245446-inline.html?rltr=22_22_25_seorl_s_0_0_0_0_0_0</x:v>
      </x:c>
      <x:c r="H13" s="15" t="str">
        <x:v>2026-08-04 00:00:00</x:v>
      </x:c>
      <x:c r="I13" s="15" t="str">
        <x:v>2026-08-06 00:00:00</x:v>
      </x:c>
      <x:c r="J13" s="15" t="str">
        <x:v>1-2</x:v>
      </x:c>
      <x:c r="K13" s="15" t="str">
        <x:v>No qualification specified</x:v>
      </x:c>
      <x:c r="L13" s="15" t="str">
        <x:v>SQL, Java</x:v>
      </x:c>
      <x:c r="M13" s="15" t="str"/>
      <x:c r="N13" s="15" t="str">
        <x:v>N</x:v>
      </x:c>
      <x:c r="O13" s="15" t="str"/>
      <x:c r="P13" s="15" t="str">
        <x:v>N</x:v>
      </x:c>
      <x:c r="Q13" s="15" t="str">
        <x:v>Not Mentioned</x:v>
      </x:c>
      <x:c r="R13" s="15" t="str">
        <x:v>collaborative</x:v>
      </x:c>
      <x:c r="S13" s="15" t="str"/>
      <x:c r="T13" s="15" t="str">
        <x:v>At Sabenza IT we are a family; we not only support our own internal staff but see our business partners as an extension of that family. We work alongside our business partners, understanding their needs and adapting flexible solutions that meet their specific requirements. Our focus is on multi-industry IT recruitment and project staffing. We are happy to discuss your future requirements.</x:v>
      </x:c>
      <x:c r="U13" s="15" t="str"/>
      <x:c r="V13" s="15" t="str">
        <x:v>Y</x:v>
      </x:c>
      <x:c r="W13" s="15" t="str">
        <x:v>N</x:v>
      </x:c>
      <x:c r="X13" s="15" t="str">
        <x:v>N</x:v>
      </x:c>
    </x:row>
    <x:row r="14">
      <x:c r="A14" s="15" t="str">
        <x:v>SE-018</x:v>
      </x:c>
      <x:c r="B14" s="15" t="str">
        <x:v>Junior Web Developer</x:v>
      </x:c>
      <x:c r="C14" s="15" t="str">
        <x:v>Careerbox</x:v>
      </x:c>
      <x:c r="D14" s="15" t="str">
        <x:v>Umhlanga Ridge, KwaZulu-Natal</x:v>
      </x:c>
      <x:c r="E14" s="15" t="str">
        <x:v>Hybrid</x:v>
      </x:c>
      <x:c r="F14" s="15" t="str">
        <x:v>PNet</x:v>
      </x:c>
      <x:c r="G14" s="15" t="str">
        <x:v>https://www.pnet.co.za/jobs--Junior-Web-Developer-5-Eglin-Sunninghill-Careerbox--4242380-inline.html?rltr=4_4_25_seorl_s_0_0_0_0_0_0</x:v>
      </x:c>
      <x:c r="H14" s="15" t="str">
        <x:v>2026-07-30 00:00:00</x:v>
      </x:c>
      <x:c r="I14" s="15" t="str">
        <x:v>2026-08-06 00:00:00</x:v>
      </x:c>
      <x:c r="J14" s="15" t="str">
        <x:v>0-1</x:v>
      </x:c>
      <x:c r="K14" s="15" t="str">
        <x:v>No qualification specified</x:v>
      </x:c>
      <x:c r="L14" s="15" t="str">
        <x:v>HTML/CSS, JavaScript</x:v>
      </x:c>
      <x:c r="M14" s="15" t="str"/>
      <x:c r="N14" s="15" t="str">
        <x:v>N</x:v>
      </x:c>
      <x:c r="O14" s="15" t="str"/>
      <x:c r="P14" s="15" t="str">
        <x:v>N</x:v>
      </x:c>
      <x:c r="Q14" s="15" t="str">
        <x:v>Not Mentioned</x:v>
      </x:c>
      <x:c r="R14" s="15" t="str">
        <x:v>Collaborate, problem-solving, communication skills</x:v>
      </x:c>
      <x:c r="S14" s="15" t="str">
        <x:v>continuous learning</x:v>
      </x:c>
      <x:c r="T14" s="15" t="str">
        <x:v>Experience with HTML, CSS, JavaScript, and basic web development frameworks.</x:v>
      </x:c>
      <x:c r="U14" s="15" t="str"/>
      <x:c r="V14" s="15" t="str">
        <x:v>Y</x:v>
      </x:c>
      <x:c r="W14" s="15" t="str">
        <x:v>N</x:v>
      </x:c>
      <x:c r="X14" s="15" t="str">
        <x:v>N</x:v>
      </x:c>
    </x:row>
    <x:row r="15">
      <x:c r="A15" s="15" t="str">
        <x:v>SE-020</x:v>
      </x:c>
      <x:c r="B15" s="15" t="str">
        <x:v>Software Developer - Sandton</x:v>
      </x:c>
      <x:c r="C15" s="15" t="str">
        <x:v>Catch Recruit</x:v>
      </x:c>
      <x:c r="D15" s="15" t="str">
        <x:v>Sandton, Gauteng</x:v>
      </x:c>
      <x:c r="E15" s="15" t="str">
        <x:v>On-site</x:v>
      </x:c>
      <x:c r="F15" s="15" t="str">
        <x:v>PNet</x:v>
      </x:c>
      <x:c r="G15" s="15" t="str">
        <x:v>https://www.pnet.co.za/jobs--Software-Developer-Sandton-Sandton-Catch-Recruit--4242450-inline.html?rltr=2_2_25_seorl_s_0_0_0_0_0_0</x:v>
      </x:c>
      <x:c r="H15" s="15" t="str">
        <x:v>2026-07-30 00:00:00</x:v>
      </x:c>
      <x:c r="I15" s="15" t="str">
        <x:v>2026-08-06 00:00:00</x:v>
      </x:c>
      <x:c r="J15" s="15" t="str">
        <x:v>0</x:v>
      </x:c>
      <x:c r="K15" s="15" t="str">
        <x:v>Degree required</x:v>
      </x:c>
      <x:c r="L15" s="15" t="str">
        <x:v>SQL, Java</x:v>
      </x:c>
      <x:c r="M15" s="15" t="str">
        <x:v>Spring</x:v>
      </x:c>
      <x:c r="N15" s="15" t="str">
        <x:v>Y</x:v>
      </x:c>
      <x:c r="O15" s="15" t="str">
        <x:v>AWS, Postman, Git/GitHub</x:v>
      </x:c>
      <x:c r="P15" s="15" t="str">
        <x:v>N</x:v>
      </x:c>
      <x:c r="Q15" s="15" t="str">
        <x:v>Not Mentioned</x:v>
      </x:c>
      <x:c r="R15" s="15" t="str">
        <x:v>self-motivated, collaborate, communication skills</x:v>
      </x:c>
      <x:c r="S15" s="15" t="str"/>
      <x:c r="T15" s="15" t="str">
        <x:v>We are committed to delivering a service that fulfils our clients' as well as our candidates' requirements.We focus on a niche group of clients and candidates, thus ensuring that they have our full attention.We are able to assist our clients to recruit nationally and internationally when required.We demonstrate an accurate understanding of your company's requirements without compromising quality.We ensure our candidates understand the culture of their potential employer as well as take an interest in their career aspirations and goals.</x:v>
      </x:c>
      <x:c r="U15" s="15" t="str">
        <x:v>Evidence verified 2026-08-11. The source explicitly supports Java, SQL, Spring and Git; unsupported Python, Django and Express values were removed.</x:v>
      </x:c>
      <x:c r="V15" s="15" t="str">
        <x:v>Y</x:v>
      </x:c>
      <x:c r="W15" s="15" t="str">
        <x:v>Y</x:v>
      </x:c>
      <x:c r="X15" s="15" t="str">
        <x:v>Y</x:v>
      </x:c>
    </x:row>
    <x:row r="16">
      <x:c r="A16" s="15" t="str">
        <x:v>SE-021</x:v>
      </x:c>
      <x:c r="B16" s="15" t="str">
        <x:v>Software Engineer - Java</x:v>
      </x:c>
      <x:c r="C16" s="15" t="str">
        <x:v>Top Recruitment</x:v>
      </x:c>
      <x:c r="D16" s="15" t="str">
        <x:v>Cape Town, Western Cape / Bryanston, Gauteng</x:v>
      </x:c>
      <x:c r="E16" s="15" t="str">
        <x:v>Hybrid</x:v>
      </x:c>
      <x:c r="F16" s="15" t="str">
        <x:v>PNet</x:v>
      </x:c>
      <x:c r="G16" s="15" t="str">
        <x:v>https://www.pnet.co.za/jobs--Software-Engineer-Java-Kenilworth-Cape-Town-Hybrid-or-Bryanston-Hybrid-Top-Recruitment--4246386-inline.html?rltr=22_22_25_seorl_s_0_0_0_0_0_0</x:v>
      </x:c>
      <x:c r="H16" s="15" t="str">
        <x:v>2026-08-05 00:00:00</x:v>
      </x:c>
      <x:c r="I16" s="15" t="str">
        <x:v>2026-08-06 00:00:00</x:v>
      </x:c>
      <x:c r="J16" s="15" t="str">
        <x:v>1-2</x:v>
      </x:c>
      <x:c r="K16" s="15" t="str">
        <x:v>Degree required</x:v>
      </x:c>
      <x:c r="L16" s="15" t="str">
        <x:v>Java, HTML/CSS, JavaScript, SQL</x:v>
      </x:c>
      <x:c r="M16" s="15" t="str">
        <x:v>Hibernate</x:v>
      </x:c>
      <x:c r="N16" s="15" t="str">
        <x:v>Y</x:v>
      </x:c>
      <x:c r="O16" s="15" t="str">
        <x:v>MySQL, SQL Server, Git/GitHub, Linux</x:v>
      </x:c>
      <x:c r="P16" s="15" t="str">
        <x:v>N</x:v>
      </x:c>
      <x:c r="Q16" s="15" t="str">
        <x:v>Not Mentioned</x:v>
      </x:c>
      <x:c r="R16" s="15" t="str">
        <x:v>Collaborate, communication skills, problem-solving, Self-motivated, adaptable</x:v>
      </x:c>
      <x:c r="S16" s="15" t="str">
        <x:v>continuous learning, working independently, eager to learn</x:v>
      </x:c>
      <x:c r="T16" s="15" t="str">
        <x:v>The successful candidate will have at least 2 years of Java development experience, along with a relevant degree in Computer Science, Software Engineering, or a related field .</x:v>
      </x:c>
      <x:c r="U16" s="15" t="str">
        <x:v>Evidence verified 2026-08-11. Source supports Java, HTML/CSS, JavaScript, SQL, Hibernate and Git. Listing covers Cape Town or Bryanston and contains conflicting senior/recent-graduate wording; retained under the explicit junior pathway rule.</x:v>
      </x:c>
      <x:c r="V16" s="15" t="str">
        <x:v>Y</x:v>
      </x:c>
      <x:c r="W16" s="15" t="str">
        <x:v>Y</x:v>
      </x:c>
      <x:c r="X16" s="15" t="str">
        <x:v>N</x:v>
      </x:c>
    </x:row>
    <x:row r="17">
      <x:c r="A17" s="15" t="str">
        <x:v>SE-022</x:v>
      </x:c>
      <x:c r="B17" s="15" t="str">
        <x:v>Junior Software Engineer (C#, C++, Java, Python, Kotlin) (CPT Remote)</x:v>
      </x:c>
      <x:c r="C17" s="15" t="str">
        <x:v>DataFin</x:v>
      </x:c>
      <x:c r="D17" s="15" t="str">
        <x:v>Cape Town, Western Cape</x:v>
      </x:c>
      <x:c r="E17" s="15" t="str">
        <x:v>Hybrid</x:v>
      </x:c>
      <x:c r="F17" s="15" t="str">
        <x:v>CareerJunction</x:v>
      </x:c>
      <x:c r="G17" s="15" t="str">
        <x:v>https://www.careerjunction.co.za/junior-software-engineer-c%23-c++-java-python-kotlin-cpt-remote-job-2642520.aspx</x:v>
      </x:c>
      <x:c r="H17" s="15" t="str">
        <x:v>2026-08-03 00:00:00</x:v>
      </x:c>
      <x:c r="I17" s="15" t="str">
        <x:v>2026-08-06 00:00:00</x:v>
      </x:c>
      <x:c r="J17" s="15" t="str">
        <x:v>0-2</x:v>
      </x:c>
      <x:c r="K17" s="15" t="str">
        <x:v>Degree required</x:v>
      </x:c>
      <x:c r="L17" s="15" t="str">
        <x:v>C++, C#, Java, Python, Kotlin, JavaScript, SQL</x:v>
      </x:c>
      <x:c r="M17" s="15" t="str">
        <x:v>.NET, React</x:v>
      </x:c>
      <x:c r="N17" s="15" t="str">
        <x:v>Y</x:v>
      </x:c>
      <x:c r="O17" s="15" t="str">
        <x:v>Git/GitHub, AWS</x:v>
      </x:c>
      <x:c r="P17" s="15" t="str">
        <x:v>N</x:v>
      </x:c>
      <x:c r="Q17" s="15" t="str">
        <x:v>Not Mentioned</x:v>
      </x:c>
      <x:c r="R17" s="15" t="str"/>
      <x:c r="S17" s="15" t="str">
        <x:v>willingness to learn</x:v>
      </x:c>
      <x:c r="T17" s="15" t="str">
        <x:v>A Bespoke Software Company urgently seeks a highly ambitious Junior Software Engineer to join its Remote team where you must be ready to hit the ground running. Your primary focus will be to earn the codebase, gather user data, and respond to requests from Senior Developers/CTO. You will help develop information systems by designing, developing, and implementing software solutions. Applicants will require a relevant BSc. Honours Degree – preference will be given if you finished within the top 10% of your class. You will also need ±2 years’ experience in a similar role with proficiency in C++, C#, Java, Python, Kotlin, RESTful APIs &amp; MVC pattern.</x:v>
      </x:c>
      <x:c r="U17" s="15" t="str">
        <x:v>Evidence verified 2026-08-11. Source explicitly names C++, C#, Java, Python, Kotlin, JavaScript, SQL and Git.</x:v>
      </x:c>
      <x:c r="V17" s="15" t="str">
        <x:v>Y</x:v>
      </x:c>
      <x:c r="W17" s="15" t="str">
        <x:v>Y</x:v>
      </x:c>
      <x:c r="X17" s="15" t="str">
        <x:v>Y</x:v>
      </x:c>
    </x:row>
    <x:row r="18">
      <x:c r="A18" s="15" t="str">
        <x:v>SE-024</x:v>
      </x:c>
      <x:c r="B18" s="15" t="str">
        <x:v>Junior Full Stack Developer</x:v>
      </x:c>
      <x:c r="C18" s="15" t="str">
        <x:v>INTX Insurance Software</x:v>
      </x:c>
      <x:c r="D18" s="15" t="str">
        <x:v>Gauteng</x:v>
      </x:c>
      <x:c r="E18" s="15" t="str">
        <x:v>Hybrid</x:v>
      </x:c>
      <x:c r="F18" s="15" t="str">
        <x:v>Indeed</x:v>
      </x:c>
      <x:c r="G18" s="15" t="str">
        <x:v>https://za.indeed.com/uie/clk?e=AAAAAWXRCDNvJHS04nUigQZJKMWthDF1_aeBbXK9qH91S65Pd0cFocmoKGL7CLNocshwe_fvR9yym45rjHn5WnMOrmnbttjxIM6Iyh4UplTNPBZd8GrG6AJcVoqHYX-9RHBtnx8eKcFA1ChN-CsC8UBmZtQlh3pgOFSqXegSWi9MTlmxTAq9h3fhvpHn9y_lHTtDwL_GhSUbfJqZvw4M5jiszVDKorjfSqANbIkMb12Gmc5pGjyNQjBd1aeiGCyKWXVcS-hHFuEIx78dNjZdE1JEhopXdtjlidr4te4S79dcooMbfJaF2-PyMOYhUhpVk8PzAff2o26VE97K17OpKEHPwFG1RidF64YcXosbAoRtiXdNlfbrJy3L7Tgz3PJ-uiigtMmb0Qiay46atgIQsNOe-XX8nolyOK_GbG2SsEVDEIJ8GfnB41oGFctREeJcmi3SwxdF42GlIKqdl5TsWhmj7TtCfwgRJs9bmaZ_o3NdI-RJWwBEw0AC0RWDi8DN17TRnZGjTBulCVXA7LYfthmyopt4tQx8k9uGEeoHhwwiGeFiVb79seyLmTFFAmHwh2B6lWzFtbd1F7J88uVs2ri0QHlp8JainZlFZtl7M4rv82l9mnltA01U9tLptlljB9JgdPr480zI2fas55mX7IY6FowDODd9CRjOy0X3sgcYdWPAyY44B6N-yw9PdUau4MgmkiLe1JDVhxuHlV8kTz95JuppuNRVHJZLWRUTf_2Ff85m6oK5cS6YAR9yOAocXkh2_7r5Q7obJbwQ3OjhsUDN597jAhUJQu5hCs6vQTdUIJ4qEsRouAjsnQUWSzRFDTH5nfhyF2Wj7A8yKBKtZTyXH9SJzN9I8wTfhUDw007qPU4TxPYsxR8hM60BXlVrEIdVydGwFMz_pH6obBoV34OaDV3SngbhVjg5CucYvwgqbazknOtXT3K-5JUtfB4xekeYHOhLHs3zSDJH_BTfL24HlAxF6OHuJqeN6k_588yuIRmLlbUbSF9JCeQncVl7XQgLbrBPEUC-28CoCwy65TR_Jcl6HTG2yBV-JTT1roOBmnSGkkTn7LklC9OzgLwXq0FzdhCSw42AcYQeZnINY1lvgia7l3i3wVpC614ZmlZwGUFGy8QDMpj-oQKAfrFY8mBQlrm7X3BwCD89IVA-UVMcviWtJgkjidI86MCxZjYRH1dzzs87HZmCLVzKha54jddag1WeBe2_MXa1mVOakl4lHTWiimgXIZQ853yO22xh92ElYHnjjMlGifBamq0dsdGgSSsXwa94ImfSaUr6Tyyu7oUkyYr9VRVrFjHJsNBZxoflXe0IME5Bdm1RSfOz6MpQzJeL0RleIDzHUzLJraWnpRLjdQ6VJvW4cJKv9gj6kaeJbYMFiHA6C0uBiuDF-_hkXmZGD1LSudZeTB_u5JW2yMU0MuI7Lz_LvfyjWjPcJ3uCDNP1he_FgA-X7XT8nvCqREh-E0AKkm5Q0ASzWzZ0ulfQiL6EsY0v75idv15a06gHfRo4IdtKwgyaxXu55OPj9bH7HstlHdKx3VpMSF_RIaIbPyt2LU5u-fG7AXfkvCAzGXRSkXE3ZEKzmSzyoclo&amp;jk=7b67dd67a0ef2cbd&amp;tk=1jvb0rijv25dt001&amp;from=company&amp;directia=1</x:v>
      </x:c>
      <x:c r="H18" s="15" t="str">
        <x:v>2026-08-03 00:00:00</x:v>
      </x:c>
      <x:c r="I18" s="15" t="str">
        <x:v>2026-08-06 00:00:00</x:v>
      </x:c>
      <x:c r="J18" s="15" t="str">
        <x:v>0-2</x:v>
      </x:c>
      <x:c r="K18" s="15" t="str">
        <x:v>Degree required</x:v>
      </x:c>
      <x:c r="L18" s="15" t="str">
        <x:v>C#, SQL, HTML/CSS, JavaScript</x:v>
      </x:c>
      <x:c r="M18" s="15" t="str">
        <x:v>.NET</x:v>
      </x:c>
      <x:c r="N18" s="15" t="str">
        <x:v>Y</x:v>
      </x:c>
      <x:c r="O18" s="15" t="str">
        <x:v>SQL Server, Git/GitHub, Azure</x:v>
      </x:c>
      <x:c r="P18" s="15" t="str">
        <x:v>N</x:v>
      </x:c>
      <x:c r="Q18" s="15" t="str">
        <x:v>Not Mentioned</x:v>
      </x:c>
      <x:c r="R18" s="15" t="str">
        <x:v>Collaborate</x:v>
      </x:c>
      <x:c r="S18" s="15" t="str"/>
      <x:c r="T18" s="15" t="str">
        <x:v>Requirements Degree in Computer Science, Software Engineering, or a related field (or equivalent practical experience) 0–2 years of experience with C#, .NET, and SQL Server (academic projects, internships, or personal projects count) Exposure to full-stack development Working knowledge of HTML5, CSS3, and JavaScript Familiarity with Git Eagerness to learn Agile ways of working Nice To Have</x:v>
      </x:c>
      <x:c r="U18" s="15" t="str">
        <x:v>Manual pasted text was used.</x:v>
      </x:c>
      <x:c r="V18" s="15" t="str">
        <x:v>Y</x:v>
      </x:c>
      <x:c r="W18" s="15" t="str">
        <x:v>Y</x:v>
      </x:c>
      <x:c r="X18" s="15" t="str">
        <x:v>Y</x:v>
      </x:c>
    </x:row>
    <x:row r="19">
      <x:c r="A19" s="15" t="str">
        <x:v>SE-025</x:v>
      </x:c>
      <x:c r="B19" s="15" t="str">
        <x:v>AI Developer Intern</x:v>
      </x:c>
      <x:c r="C19" s="15" t="str">
        <x:v>Bluespec Holdings</x:v>
      </x:c>
      <x:c r="D19" s="15" t="str">
        <x:v>Gauteng</x:v>
      </x:c>
      <x:c r="E19" s="15" t="str">
        <x:v>Hybrid</x:v>
      </x:c>
      <x:c r="F19" s="15" t="str">
        <x:v>Indeed</x:v>
      </x:c>
      <x:c r="G19" s="15" t="str">
        <x:v>https://za.indeed.com/viewjob?jk=e75d18b52953592f&amp;tk=1jvb0kk9326pq000&amp;from=serp&amp;vjs=3</x:v>
      </x:c>
      <x:c r="H19" s="15" t="str">
        <x:v>2026-08-03 00:00:00</x:v>
      </x:c>
      <x:c r="I19" s="15" t="str">
        <x:v>2026-08-06 00:00:00</x:v>
      </x:c>
      <x:c r="J19" s="15" t="str">
        <x:v>0-2</x:v>
      </x:c>
      <x:c r="K19" s="15" t="str">
        <x:v>Degree required</x:v>
      </x:c>
      <x:c r="L19" s="15" t="str">
        <x:v>C#, SQL, HTML/CSS, JavaScript</x:v>
      </x:c>
      <x:c r="M19" s="15" t="str">
        <x:v>.NET</x:v>
      </x:c>
      <x:c r="N19" s="15" t="str">
        <x:v>Y</x:v>
      </x:c>
      <x:c r="O19" s="15" t="str">
        <x:v>SQL Server, Git/GitHub, Azure</x:v>
      </x:c>
      <x:c r="P19" s="15" t="str">
        <x:v>N</x:v>
      </x:c>
      <x:c r="Q19" s="15" t="str">
        <x:v>Not Mentioned</x:v>
      </x:c>
      <x:c r="R19" s="15" t="str">
        <x:v>Collaborate</x:v>
      </x:c>
      <x:c r="S19" s="15" t="str"/>
      <x:c r="T19" s="15" t="str">
        <x:v>Requirements Degree in Computer Science, Software Engineering, or a related field (or equivalent practical experience) 0–2 years of experience with C#, .NET, and SQL Server (academic projects, internships, or personal projects count) Exposure to full-stack development Working knowledge of HTML5, CSS3, and JavaScript Familiarity with Git Eagerness to learn Agile ways of working Nice To Have</x:v>
      </x:c>
      <x:c r="U19" s="15" t="str"/>
      <x:c r="V19" s="15" t="str">
        <x:v>Y</x:v>
      </x:c>
      <x:c r="W19" s="15" t="str">
        <x:v>Y</x:v>
      </x:c>
      <x:c r="X19" s="15" t="str">
        <x:v>Y</x:v>
      </x:c>
    </x:row>
    <x:row r="20">
      <x:c r="A20" s="15" t="str">
        <x:v>SE-026</x:v>
      </x:c>
      <x:c r="B20" s="15" t="str">
        <x:v>DEVELOPER INTERNSHIP</x:v>
      </x:c>
      <x:c r="C20" s="15" t="str">
        <x:v>PARVANA RECRUITMENT</x:v>
      </x:c>
      <x:c r="D20" s="15" t="str">
        <x:v>Johannesburg, Gauteng / Cape Town, Western Cape</x:v>
      </x:c>
      <x:c r="E20" s="15" t="str">
        <x:v>On-site</x:v>
      </x:c>
      <x:c r="F20" s="15" t="str">
        <x:v>Jobleads careers</x:v>
      </x:c>
      <x:c r="G20" s="15" t="str">
        <x:v>https://www.jobleads.com/job/e226fa271cbbc1ba4375320faaba0c511</x:v>
      </x:c>
      <x:c r="H20" s="15" t="str">
        <x:v>2026-08-05 00:00:00</x:v>
      </x:c>
      <x:c r="I20" s="15" t="str">
        <x:v>2026-08-06 00:00:00</x:v>
      </x:c>
      <x:c r="J20" s="15" t="str">
        <x:v>0</x:v>
      </x:c>
      <x:c r="K20" s="15" t="str">
        <x:v>Degree required</x:v>
      </x:c>
      <x:c r="L20" s="15" t="str"/>
      <x:c r="M20" s="15" t="str"/>
      <x:c r="N20" s="15" t="str">
        <x:v>N</x:v>
      </x:c>
      <x:c r="O20" s="15" t="str"/>
      <x:c r="P20" s="15" t="str">
        <x:v>N</x:v>
      </x:c>
      <x:c r="Q20" s="15" t="str">
        <x:v>Not Mentioned</x:v>
      </x:c>
      <x:c r="R20" s="15" t="str">
        <x:v>teamwork, interpersonal skills, problem-solving skills, attention to detail</x:v>
      </x:c>
      <x:c r="S20" s="15" t="str">
        <x:v>on-the-job training</x:v>
      </x:c>
      <x:c r="T20" s="15" t="str">
        <x:v>Qualifications Completed 3-year Diploma or Degree with Computer Science as a major. Strong teamwork, interpersonal skills, analytical ability, problem-solving skills, and attention to detail. Responsibilities Engaging in research and development. Participating in development projects using Scrum methodology. Writing code in 4GL on a Unix platform. Testing and debugging software. Skills Teamwork Interpersonal skills Analytical ability Problem-solving skills Attention to detail Education Completed 3-year Diploma or Degree in Computer Science Job description Job Description Our highly successful national client is seeking a bright and ambitious developer to join their team, with opportunities based in either Cape Town or Johannesburg. No prior experience is required, as comprehensive courses and on-the-job training will be provided over four months.</x:v>
      </x:c>
      <x:c r="U20" s="15" t="str">
        <x:v>Evidence verified 2026-08-11. Listing text explicitly states opportunities in either Cape Town or Johannesburg; the dual-city value is retained.</x:v>
      </x:c>
      <x:c r="V20" s="15" t="str">
        <x:v>N</x:v>
      </x:c>
      <x:c r="W20" s="15" t="str">
        <x:v>N</x:v>
      </x:c>
      <x:c r="X20" s="15" t="str">
        <x:v>N</x:v>
      </x:c>
    </x:row>
    <x:row r="21">
      <x:c r="A21" s="15" t="str">
        <x:v>SE-027</x:v>
      </x:c>
      <x:c r="B21" s="15" t="str">
        <x:v>PHP Engineer</x:v>
      </x:c>
      <x:c r="C21" s="15" t="str">
        <x:v>Vaimo</x:v>
      </x:c>
      <x:c r="D21" s="15" t="str">
        <x:v>Pretoria, Gauteng</x:v>
      </x:c>
      <x:c r="E21" s="15" t="str">
        <x:v>Hybrid</x:v>
      </x:c>
      <x:c r="F21" s="15" t="str">
        <x:v>Indeed</x:v>
      </x:c>
      <x:c r="G21" s="15" t="str">
        <x:v>https://za.indeed.com/viewjob?jk=65799583cfa481bb&amp;tk=1jvb1ilo825en000&amp;from=serp&amp;vjs=3</x:v>
      </x:c>
      <x:c r="H21" s="15" t="str">
        <x:v>2026-08-04 00:00:00</x:v>
      </x:c>
      <x:c r="I21" s="15" t="str">
        <x:v>2026-08-06 00:00:00</x:v>
      </x:c>
      <x:c r="J21" s="15" t="str">
        <x:v>1-3</x:v>
      </x:c>
      <x:c r="K21" s="15" t="str">
        <x:v>No qualification specified</x:v>
      </x:c>
      <x:c r="L21" s="15" t="str">
        <x:v>PHP, SQL</x:v>
      </x:c>
      <x:c r="M21" s="15" t="str"/>
      <x:c r="N21" s="15" t="str">
        <x:v>Y</x:v>
      </x:c>
      <x:c r="O21" s="15" t="str">
        <x:v>Linux, Git/GitHub, MySQL</x:v>
      </x:c>
      <x:c r="P21" s="15" t="str">
        <x:v>N</x:v>
      </x:c>
      <x:c r="Q21" s="15" t="str">
        <x:v>Not Mentioned</x:v>
      </x:c>
      <x:c r="R21" s="15" t="str">
        <x:v>team player</x:v>
      </x:c>
      <x:c r="S21" s="15" t="str"/>
      <x:c r="T21" s="15" t="str">
        <x:v>Disclaimer: Position and title is dependent on the amount of experience Familiarity with server-side web development technologies Advanced experience using PHP to create and consume web services (SOAP, XML-RPC) Coding and maintaining web applications Proficient with Linux command line Proficient with debugger tools such as xDebug or Zend Debugger Experience with the GIT version control system Understanding of database schema architecture Advanced object-oriented development skills and solid experience interacting with MySQL database systems through an abstraction layer in addition to the ability to write raw SQL queries Passion to create high-quality and high-performing web pages Ability to estimate/forecast time to complete specified project tasks Be a team player and a quick learner, able to hit the ground running</x:v>
      </x:c>
      <x:c r="U21" s="15" t="str">
        <x:v>Manual pasted text was used.</x:v>
      </x:c>
      <x:c r="V21" s="15" t="str">
        <x:v>Y</x:v>
      </x:c>
      <x:c r="W21" s="15" t="str">
        <x:v>N</x:v>
      </x:c>
      <x:c r="X21" s="15" t="str">
        <x:v>N</x:v>
      </x:c>
    </x:row>
    <x:row r="22">
      <x:c r="A22" s="15" t="str">
        <x:v>SE-029</x:v>
      </x:c>
      <x:c r="B22" s="15" t="str">
        <x:v>Junior React Software Engineer</x:v>
      </x:c>
      <x:c r="C22" s="15" t="str">
        <x:v>Electrum Software</x:v>
      </x:c>
      <x:c r="D22" s="15" t="str">
        <x:v>Cape Town, Western Cape</x:v>
      </x:c>
      <x:c r="E22" s="15" t="str">
        <x:v>Hybrid</x:v>
      </x:c>
      <x:c r="F22" s="15" t="str">
        <x:v>Indeed</x:v>
      </x:c>
      <x:c r="G22" s="15" t="str">
        <x:v>https://za.indeed.com/rc/clk?jk=af5c63d244f549a3&amp;bb=YT5S7NUbwfun40PEpIGwfwW6BUlmonZPKfI3VWzs0P9GNhKrZUrNDrTpaSt7XWN5_rCzZpXIfPd6A3upgqw4KHkIc6GNjEaah8YC5oPBVqq8CSlJJ5dpqKh1ClFZBO7vS_XjQZTPzSx56vve2aRSbnXUrvuiMVhJQgwLUdDOt_oitYyUEcha2g%3D%3D&amp;xkcb=SoCe67M3grLFZ5TDRR0BbzkdCdPP&amp;fccid=acd2abe34de3a396&amp;vjs=3</x:v>
      </x:c>
      <x:c r="H22" s="15" t="str">
        <x:v>2026-08-06 00:00:00</x:v>
      </x:c>
      <x:c r="I22" s="15" t="str">
        <x:v>2026-08-06 00:00:00</x:v>
      </x:c>
      <x:c r="J22" s="15" t="str">
        <x:v>2+</x:v>
      </x:c>
      <x:c r="K22" s="15" t="str">
        <x:v>No qualification specified</x:v>
      </x:c>
      <x:c r="L22" s="15" t="str">
        <x:v>JavaScript, TypeScript</x:v>
      </x:c>
      <x:c r="M22" s="15" t="str">
        <x:v>React, Angular, Vue</x:v>
      </x:c>
      <x:c r="N22" s="15" t="str">
        <x:v>N</x:v>
      </x:c>
      <x:c r="O22" s="15" t="str"/>
      <x:c r="P22" s="15" t="str">
        <x:v>N</x:v>
      </x:c>
      <x:c r="Q22" s="15" t="str">
        <x:v>Not Mentioned</x:v>
      </x:c>
      <x:c r="R22" s="15" t="str">
        <x:v>collaboration, Teamwork</x:v>
      </x:c>
      <x:c r="S22" s="15" t="str"/>
      <x:c r="T22" s="15" t="str">
        <x:v>Requirements 2+ years experience working as a developer in a software development team Modern SPA framework fluency — React, Angular, or Vue (React preferred) Advanced JavaScript / TypeScript skills (required) Solid client-side state management Design-system &amp; reusable component library know-how REST/GraphQL (optional) CI/CD with automated tests and linting Performance, security, and accessibility best practices Experience operating enterprise-scale SPAs (feature flags, telemetry, observability) Proven ability to mentor and guide team members in front-end development best practices.</x:v>
      </x:c>
      <x:c r="U22" s="15" t="str">
        <x:v>Manual pasted text was used.</x:v>
      </x:c>
      <x:c r="V22" s="15" t="str">
        <x:v>Y</x:v>
      </x:c>
      <x:c r="W22" s="15" t="str">
        <x:v>Y</x:v>
      </x:c>
      <x:c r="X22" s="15" t="str">
        <x:v>N</x:v>
      </x:c>
    </x:row>
    <x:row r="23">
      <x:c r="A23" s="15" t="str">
        <x:v>SE-030</x:v>
      </x:c>
      <x:c r="B23" s="15" t="str">
        <x:v>JUNIOR / MID FULL STACK DEVELOPER</x:v>
      </x:c>
      <x:c r="C23" s="15" t="str">
        <x:v>Affiliate.co.za</x:v>
      </x:c>
      <x:c r="D23" s="15" t="str">
        <x:v>Johannesburg, Gauteng</x:v>
      </x:c>
      <x:c r="E23" s="15" t="str">
        <x:v>Hybrid</x:v>
      </x:c>
      <x:c r="F23" s="15" t="str">
        <x:v>Indeed</x:v>
      </x:c>
      <x:c r="G23" s="15" t="str">
        <x:v>https://za.indeed.com/rc/clk?jk=e2d4d0efbfa8c36f&amp;bb=5QHo-p2Tt5zm12HNeHe_p28LpNMqsQavlERVyo3PzboknWzJhuRWnYuHmw1G11cXXJG9O7vkiM7HHOkWnIIbvqjOI1FW6QaTA-Yxb1gAyyXA5TPl-O2BJYsC-D_VapFRd0_N8ZJsoiKNBHrn0lOBDsFAz-qL0wL0sBVewTNkcMY8_mptbwta8g%3D%3D&amp;xkcb=SoDs67M3grM77rgfRL0LbzkdCdPP&amp;fccid=651a65d4f7f3b6b2&amp;vjs=3</x:v>
      </x:c>
      <x:c r="H23" s="15" t="str">
        <x:v>2026-08-06 00:00:00</x:v>
      </x:c>
      <x:c r="I23" s="15" t="str">
        <x:v>2026-08-06 00:00:00</x:v>
      </x:c>
      <x:c r="J23" s="15" t="str">
        <x:v>2+</x:v>
      </x:c>
      <x:c r="K23" s="15" t="str">
        <x:v>Degree required</x:v>
      </x:c>
      <x:c r="L23" s="15" t="str">
        <x:v>HTML/CSS, JavaScript</x:v>
      </x:c>
      <x:c r="M23" s="15" t="str">
        <x:v>Angular, React</x:v>
      </x:c>
      <x:c r="N23" s="15" t="str">
        <x:v>N</x:v>
      </x:c>
      <x:c r="O23" s="15" t="str"/>
      <x:c r="P23" s="15" t="str">
        <x:v>N</x:v>
      </x:c>
      <x:c r="Q23" s="15" t="str">
        <x:v>Not Mentioned</x:v>
      </x:c>
      <x:c r="R23" s="15" t="str">
        <x:v>problem solving</x:v>
      </x:c>
      <x:c r="S23" s="15" t="str"/>
      <x:c r="T23" s="15" t="str">
        <x:v>Ability to define a structured approach to problem solving and delivery against it. Data management, development and modelling. Engage with a wide range of technical stakeholders including data scientists, business analysts, data engineers, database administrators and solutions architects. Data architecture design and delivery experience preferred. Integrate with 3rd party systems and APIs. Build and integrate websites, pages and web applications. Read, analyse and process and write data to numerous data sources. Track work using project management tools and agile methodologies.</x:v>
      </x:c>
      <x:c r="U23" s="15" t="str">
        <x:v>Evidence verified 2026-08-11. Source explicitly describes JavaScript front-end technologies (React/Angular) and HTML/CSS; JavaScript was added.</x:v>
      </x:c>
      <x:c r="V23" s="15" t="str">
        <x:v>Y</x:v>
      </x:c>
      <x:c r="W23" s="15" t="str">
        <x:v>Y</x:v>
      </x:c>
      <x:c r="X23" s="15" t="str">
        <x:v>N</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24" hidden="0" customWidth="1"/>
    <x:col min="4" max="4" width="24" hidden="0" customWidth="1"/>
    <x:col min="5" max="5" width="14" hidden="0" customWidth="1"/>
    <x:col min="6" max="6" width="14" hidden="0" customWidth="1"/>
    <x:col min="7" max="7" width="30"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24" hidden="0" customWidth="1"/>
    <x:col min="19" max="19" width="24" hidden="0" customWidth="1"/>
    <x:col min="20" max="20" width="24" hidden="0" customWidth="1"/>
    <x:col min="21" max="21" width="24" hidden="0" customWidth="1"/>
    <x:col min="22" max="22" width="15" hidden="0" customWidth="1"/>
    <x:col min="23" max="23" width="15" hidden="0" customWidth="1"/>
    <x:col min="24" max="24" width="15" hidden="0" customWidth="1"/>
    <x:col min="25" max="25" width="15" hidden="0" customWidth="1"/>
    <x:col min="26" max="26" width="15" hidden="0" customWidth="1"/>
  </x:cols>
  <x:sheetData>
    <x:row r="1">
      <x:c r="A1" s="13" t="str">
        <x:v>Post ID</x:v>
      </x:c>
      <x:c r="B1" s="13" t="str">
        <x:v>Job Title (as written)</x:v>
      </x:c>
      <x:c r="C1" s="13" t="str">
        <x:v>Company Name</x:v>
      </x:c>
      <x:c r="D1" s="13" t="str">
        <x:v>Location</x:v>
      </x:c>
      <x:c r="E1" s="13" t="str">
        <x:v>Work Type</x:v>
      </x:c>
      <x:c r="F1" s="13" t="str">
        <x:v>Source / Job Board</x:v>
      </x:c>
      <x:c r="G1" s="13" t="str">
        <x:v>Job Post URL</x:v>
      </x:c>
      <x:c r="H1" s="13" t="str">
        <x:v>Date Posted</x:v>
      </x:c>
      <x:c r="I1" s="13" t="str">
        <x:v>Date Collected</x:v>
      </x:c>
      <x:c r="J1" s="13" t="str">
        <x:v>Experience Required (years)</x:v>
      </x:c>
      <x:c r="K1" s="13" t="str">
        <x:v>Qualification Required</x:v>
      </x:c>
      <x:c r="L1" s="13" t="str">
        <x:v>Core Analytical Skills Mentioned</x:v>
      </x:c>
      <x:c r="M1" s="13" t="str">
        <x:v>Reporting/Visualization Tools Mentioned</x:v>
      </x:c>
      <x:c r="N1" s="13" t="str">
        <x:v>SQL Explicitly Named (Y/N)</x:v>
      </x:c>
      <x:c r="O1" s="13" t="str">
        <x:v>Tools &amp; Platforms Mentioned</x:v>
      </x:c>
      <x:c r="P1" s="13" t="str">
        <x:v>Portfolio/GitHub Requested (Y/N)</x:v>
      </x:c>
      <x:c r="Q1" s="13" t="str">
        <x:v>Requirement Level (Required/Preferred/Not Mentioned)</x:v>
      </x:c>
      <x:c r="R1" s="13" t="str">
        <x:v>Soft Skills Mentioned (verbatim)</x:v>
      </x:c>
      <x:c r="S1" s="13" t="str">
        <x:v>Specific Readiness Signals (verbatim, beyond generic buzzwords)</x:v>
      </x:c>
      <x:c r="T1" s="13" t="str">
        <x:v>Key Requirements Paragraph (paste)</x:v>
      </x:c>
      <x:c r="U1" s="13" t="str">
        <x:v>Notes / Anything Unusual</x:v>
      </x:c>
      <x:c r="V1" s="13" t="str">
        <x:v>Helper: Excel Any</x:v>
      </x:c>
      <x:c r="W1" s="13" t="str">
        <x:v>Helper: Power BI</x:v>
      </x:c>
      <x:c r="X1" s="13" t="str">
        <x:v>Helper: Tableau</x:v>
      </x:c>
      <x:c r="Y1" s="13" t="str">
        <x:v>Helper: Python</x:v>
      </x:c>
      <x:c r="Z1" s="13" t="str">
        <x:v>Helper: Data Cleaning</x:v>
      </x:c>
    </x:row>
    <x:row r="2">
      <x:c r="A2" s="14" t="str">
        <x:v>DA-002</x:v>
      </x:c>
      <x:c r="B2" s="14" t="str">
        <x:v>Junior Data Analyst</x:v>
      </x:c>
      <x:c r="C2" s="14" t="str">
        <x:v>Pargo</x:v>
      </x:c>
      <x:c r="D2" s="14" t="str">
        <x:v>Cape Town, Western Cape</x:v>
      </x:c>
      <x:c r="E2" s="14" t="str">
        <x:v>Hybrid</x:v>
      </x:c>
      <x:c r="F2" s="14" t="str">
        <x:v>LinkedIn</x:v>
      </x:c>
      <x:c r="G2" s="14" t="str">
        <x:v>https://www.linkedin.com/jobs/view/4439840436/?alternateChannel=search&amp;trackingId=SuC%2BOW8yQEOnCiKhcfn86A%3D%3D</x:v>
      </x:c>
      <x:c r="H2" s="14" t="str">
        <x:v>2026-08-05 00:00:00</x:v>
      </x:c>
      <x:c r="I2" s="14" t="str">
        <x:v>2026-08-07 00:00:00</x:v>
      </x:c>
      <x:c r="J2" s="14" t="str">
        <x:v>0-2</x:v>
      </x:c>
      <x:c r="K2" s="14" t="str">
        <x:v>Degree required</x:v>
      </x:c>
      <x:c r="L2" s="14" t="str">
        <x:v>SQL, Excel (advanced), Python</x:v>
      </x:c>
      <x:c r="M2" s="14" t="str">
        <x:v>Excel (dashboards/pivot tables), Power BI, Tableau</x:v>
      </x:c>
      <x:c r="N2" s="14" t="str">
        <x:v>Y</x:v>
      </x:c>
      <x:c r="O2" s="14" t="str">
        <x:v>Excel</x:v>
      </x:c>
      <x:c r="P2" s="14" t="str">
        <x:v>N</x:v>
      </x:c>
      <x:c r="Q2" s="14" t="str">
        <x:v>Not Mentioned</x:v>
      </x:c>
      <x:c r="R2" s="14" t="str">
        <x:v>self-motivated, Problem Solving, Collaboration, adaptable, attention to detail, communication skills</x:v>
      </x:c>
      <x:c r="S2" s="14" t="str">
        <x:v>eager to learn</x:v>
      </x:c>
      <x:c r="T2" s="14" t="str">
        <x:v>Strong proficiency in Excel (vlookups, pivot tables, basic formulas).</x:v>
      </x:c>
      <x:c r="U2" s="14" t="str"/>
      <x:c r="V2" s="14" t="str">
        <x:v>Y</x:v>
      </x:c>
      <x:c r="W2" s="14" t="str">
        <x:v>Y</x:v>
      </x:c>
      <x:c r="X2" s="14" t="str">
        <x:v>Y</x:v>
      </x:c>
      <x:c r="Y2" s="14" t="str">
        <x:v>Y</x:v>
      </x:c>
      <x:c r="Z2" s="14" t="str">
        <x:v>N</x:v>
      </x:c>
    </x:row>
    <x:row r="3">
      <x:c r="A3" s="15" t="str">
        <x:v>DA-004</x:v>
      </x:c>
      <x:c r="B3" s="15" t="str">
        <x:v>Data Analyst Associate</x:v>
      </x:c>
      <x:c r="C3" s="15" t="str">
        <x:v>JHC Consulting</x:v>
      </x:c>
      <x:c r="D3" s="15" t="str">
        <x:v>Cape Town, Western Cape</x:v>
      </x:c>
      <x:c r="E3" s="15" t="str">
        <x:v>Remote</x:v>
      </x:c>
      <x:c r="F3" s="15" t="str">
        <x:v>LinkedIn</x:v>
      </x:c>
      <x:c r="G3" s="15" t="str">
        <x:v>https://www.linkedin.com/jobs/view/4449377366/?alternateChannel=search&amp;eBP=NOT_ELIGIBLE_FOR_CHARGING&amp;refId=cT0m1bwzPb6nrYuUUKKNyg%3D%3D&amp;trackingId=KD4xOKyYStFm7j4oiseb%2Bw%3D%3D</x:v>
      </x:c>
      <x:c r="H3" s="15" t="str">
        <x:v>2026-08-06 00:00:00</x:v>
      </x:c>
      <x:c r="I3" s="15" t="str">
        <x:v>2026-08-07 00:00:00</x:v>
      </x:c>
      <x:c r="J3" s="15" t="str">
        <x:v>Not specified</x:v>
      </x:c>
      <x:c r="K3" s="15" t="str">
        <x:v>Degree required</x:v>
      </x:c>
      <x:c r="L3" s="15" t="str"/>
      <x:c r="M3" s="15" t="str"/>
      <x:c r="N3" s="15" t="str">
        <x:v>N</x:v>
      </x:c>
      <x:c r="O3" s="15" t="str"/>
      <x:c r="P3" s="15" t="str">
        <x:v>N</x:v>
      </x:c>
      <x:c r="Q3" s="15" t="str">
        <x:v>Not Mentioned</x:v>
      </x:c>
      <x:c r="R3" s="15" t="str"/>
      <x:c r="S3" s="15" t="str">
        <x:v>working independently</x:v>
      </x:c>
      <x:c r="T3" s="15" t="str">
        <x:v>We are looking for candidates who possess a high degree of intellectual curiosity and a disciplined approach to their work. While this is an entry level role, you should have a basic proficiency in data analysis tools and a strong grasp of quantitative reasoning. More importantly, you must be a clear and effective writer. We value the ability to explain a complex statistical finding in plain English without relying on corporate jargon. You should be comfortable working independently and managing your own schedule in a remote setting. Academic backgrounds in economics, finance, mathematics, or the humanities are all welcome, provided you can demonstrate the ability to think critically and write persuasively. You must be able to follow an argument to its conclusion and have the courage to name uncomfortable truths when the data reveals them.</x:v>
      </x:c>
      <x:c r="U3" s="15" t="str">
        <x:v>Evidence verified 2026-08-11 using a matching source mirror. The listing names only generic data-analysis tools and does not explicitly name SQL, Python or Excel; unsupported structured values were cleared.</x:v>
      </x:c>
      <x:c r="V3" s="15" t="str">
        <x:v>N</x:v>
      </x:c>
      <x:c r="W3" s="15" t="str">
        <x:v>N</x:v>
      </x:c>
      <x:c r="X3" s="15" t="str">
        <x:v>N</x:v>
      </x:c>
      <x:c r="Y3" s="15" t="str">
        <x:v>N</x:v>
      </x:c>
      <x:c r="Z3" s="15" t="str">
        <x:v>N</x:v>
      </x:c>
    </x:row>
    <x:row r="4">
      <x:c r="A4" s="15" t="str">
        <x:v>DA-007</x:v>
      </x:c>
      <x:c r="B4" s="15" t="str">
        <x:v>Analyst: Business Insights</x:v>
      </x:c>
      <x:c r="C4" s="15" t="str">
        <x:v>Nedbank</x:v>
      </x:c>
      <x:c r="D4" s="15" t="str">
        <x:v>Johannesburg, Gauteng</x:v>
      </x:c>
      <x:c r="E4" s="15" t="str">
        <x:v>Hybrid</x:v>
      </x:c>
      <x:c r="F4" s="15" t="str">
        <x:v>LinkedIn</x:v>
      </x:c>
      <x:c r="G4" s="15" t="str">
        <x:v>https://www.linkedin.com/jobs/view/4448021208/?alternateChannel=search&amp;eBP=CwEAAAGf2yZKnuIDOzxTsFCsXz85PkzmLTPMu_Yqll8N-0S9AqmhYK-XqNOiuoVwVwjtTEX6VeVVmwvRapQ8X3HUkJWklNRAQzOyR1VkgDd3ARwcMiCrr0SaXTVMH2DF4PTcSxASyMz7DUzzVr9yQSWJh2YceF8mAZvm_m2b_WZxvinu-a4QMHxLWEzPmonqIs6Er3GHdYbBP4Ef0gT01Wdvrh6JZAwWmozx3ZnB26J4vhShTnbXrSAt7yKtFnL_NdLm3kCgAaKQ9eM6tnmpcavEADipVpmmXcCepN9giiR4xPNG00X4MAGQcpk-Nmy_YIW3dvEo-noC_pWLCW-JaeeRt6UZXl1qHJy4_25LrDheEkX7jqrJT5SY5ZUrjNFq8kw2E9q7gvptDQIBAgEz2eXh-ILwsxUVP3Z3m-wuye798VauC3xumnc_w9souDCxMPB5Ke245HkW&amp;refId=cT0m1bwzPb6nrYuUUKKNyg%3D%3D&amp;trackingId=RPNuQtb8DrORzzJsPb87WQ%3D%3D</x:v>
      </x:c>
      <x:c r="H4" s="15" t="str">
        <x:v>2026-08-06 00:00:00</x:v>
      </x:c>
      <x:c r="I4" s="15" t="str">
        <x:v>2026-08-07 00:00:00</x:v>
      </x:c>
      <x:c r="J4" s="15" t="str">
        <x:v>1-3</x:v>
      </x:c>
      <x:c r="K4" s="15" t="str">
        <x:v>Degree preferred</x:v>
      </x:c>
      <x:c r="L4" s="15" t="str"/>
      <x:c r="M4" s="15" t="str">
        <x:v>Excel (dashboards/pivot tables), Power BI</x:v>
      </x:c>
      <x:c r="N4" s="15" t="str">
        <x:v>N</x:v>
      </x:c>
      <x:c r="O4" s="15" t="str">
        <x:v>Excel</x:v>
      </x:c>
      <x:c r="P4" s="15" t="str">
        <x:v>N</x:v>
      </x:c>
      <x:c r="Q4" s="15" t="str">
        <x:v>Not Mentioned</x:v>
      </x:c>
      <x:c r="R4" s="15" t="str">
        <x:v>Adaptability</x:v>
      </x:c>
      <x:c r="S4" s="15" t="str"/>
      <x:c r="T4" s="15" t="str">
        <x:v>Develop, maintain and refine monthly dashboards (Excel, Power BI and other)</x:v>
      </x:c>
      <x:c r="U4" s="15" t="str">
        <x:v>Evidence verified 2026-08-11 using a matching source mirror because the original role page is closed. Excel and Power BI are explicit; SQL is not, so the SQL flag and unsupported core-skill value were cleared.</x:v>
      </x:c>
      <x:c r="V4" s="15" t="str">
        <x:v>Y</x:v>
      </x:c>
      <x:c r="W4" s="15" t="str">
        <x:v>Y</x:v>
      </x:c>
      <x:c r="X4" s="15" t="str">
        <x:v>N</x:v>
      </x:c>
      <x:c r="Y4" s="15" t="str">
        <x:v>N</x:v>
      </x:c>
      <x:c r="Z4" s="15" t="str">
        <x:v>N</x:v>
      </x:c>
    </x:row>
    <x:row r="5">
      <x:c r="A5" s="15" t="str">
        <x:v>DA-008</x:v>
      </x:c>
      <x:c r="B5" s="15" t="str">
        <x:v>Data Analyst</x:v>
      </x:c>
      <x:c r="C5" s="15" t="str">
        <x:v>Crisis24</x:v>
      </x:c>
      <x:c r="D5" s="15" t="str">
        <x:v>Cape Town, Western Cape</x:v>
      </x:c>
      <x:c r="E5" s="15" t="str">
        <x:v>Hybrid</x:v>
      </x:c>
      <x:c r="F5" s="15" t="str">
        <x:v>LinkedIn</x:v>
      </x:c>
      <x:c r="G5" s="15" t="str">
        <x:v>https://www.linkedin.com/jobs/view/4427571364/?alternateChannel=search&amp;eBP=NOT_ELIGIBLE_FOR_CHARGING&amp;refId=cT0m1bwzPb6nrYuUUKKNyg%3D%3D&amp;trackingId=MFR0ci65x8JGmIVJYYwAkw%3D%3D</x:v>
      </x:c>
      <x:c r="H5" s="15" t="str">
        <x:v>2026-06-07 00:00:00</x:v>
      </x:c>
      <x:c r="I5" s="15" t="str">
        <x:v>2026-08-07 00:00:00</x:v>
      </x:c>
      <x:c r="J5" s="15" t="str">
        <x:v>Not specified</x:v>
      </x:c>
      <x:c r="K5" s="15" t="str">
        <x:v>No qualification specified</x:v>
      </x:c>
      <x:c r="L5" s="15" t="str">
        <x:v>SQL, Statistics, Excel (advanced), Python</x:v>
      </x:c>
      <x:c r="M5" s="15" t="str">
        <x:v>Excel (dashboards/pivot tables), Power BI</x:v>
      </x:c>
      <x:c r="N5" s="15" t="str">
        <x:v>Y</x:v>
      </x:c>
      <x:c r="O5" s="15" t="str">
        <x:v>Excel, Jira</x:v>
      </x:c>
      <x:c r="P5" s="15" t="str">
        <x:v>N</x:v>
      </x:c>
      <x:c r="Q5" s="15" t="str">
        <x:v>Not Mentioned</x:v>
      </x:c>
      <x:c r="R5" s="15" t="str">
        <x:v>Problem-Solving, Attention to Detail, written and verbal communication skills, communication skills, Collaboration, Time Management</x:v>
      </x:c>
      <x:c r="S5" s="15" t="str">
        <x:v>present findings</x:v>
      </x:c>
      <x:c r="T5" s="15" t="str">
        <x:v>Required - Strong working knowledge of Microsoft Office (Excel, Word, Outlook)</x:v>
      </x:c>
      <x:c r="U5" s="15" t="str"/>
      <x:c r="V5" s="15" t="str">
        <x:v>Y</x:v>
      </x:c>
      <x:c r="W5" s="15" t="str">
        <x:v>Y</x:v>
      </x:c>
      <x:c r="X5" s="15" t="str">
        <x:v>N</x:v>
      </x:c>
      <x:c r="Y5" s="15" t="str">
        <x:v>Y</x:v>
      </x:c>
      <x:c r="Z5" s="15" t="str">
        <x:v>N</x:v>
      </x:c>
    </x:row>
    <x:row r="6">
      <x:c r="A6" s="15" t="str">
        <x:v>DA-010</x:v>
      </x:c>
      <x:c r="B6" s="15" t="str">
        <x:v>Associate Data Analyst (New Graduate, Thai Speaking) (Marketing Analytics, Bangkok Based)</x:v>
      </x:c>
      <x:c r="C6" s="15" t="str">
        <x:v>Agoda</x:v>
      </x:c>
      <x:c r="D6" s="15" t="str">
        <x:v>Cape Town, Western Cape</x:v>
      </x:c>
      <x:c r="E6" s="15" t="str">
        <x:v>On-site</x:v>
      </x:c>
      <x:c r="F6" s="15" t="str">
        <x:v>LinkedIn</x:v>
      </x:c>
      <x:c r="G6" s="15" t="str">
        <x:v>https://www.linkedin.com/jobs/view/4299769439/?alternateChannel=search&amp;eBP=CwEAAAGf2zEeS8UaHBCshD8iQgMwzVDf5mASBHpenU2g2DQkQQVNFrvZ0wZHMOJpATt3qXJr0f77crM_JQqqjMh63a5bg0yLMaZDLOAxKfGzhgQTsTh4yWMgS4ECvEc3aefxWR1BMFy1ZjGhDsMJgJzGvGwbk6lbjMwrGhznG62_u2Y_hlz18m_Y2H_CT2SNog2wYH07T5Gc6ZWeD6DXOb5MwHGdQ6iN8DoMtXKH2-cSqK59NYnNpa7haw4HbIHD6MMihbQPFPmSWokB6X1-zhtOnHSGginBUWY2c7fooSXeMaIagswvW5adw5n7DRZlMhW2J4XlXE5hmuFHFCNIOHZUOUwCHYJkL3b-9gQZf8gfEvYyLkh78u3O4gDx2suIsA-d-GgiX11mJzmarawqyDBemOJeyeHPBxJsD5WbBf6VkrAtQiz7EbN7ClQtFf1v661kCqw&amp;refId=GA3feIWyeDh8qrrtCMCbQQ%3D%3D&amp;trackingId=wpto4m28toTbUPXh8iB0kg%3D%3D</x:v>
      </x:c>
      <x:c r="H6" s="15" t="str">
        <x:v>2026-08-04 00:00:00</x:v>
      </x:c>
      <x:c r="I6" s="15" t="str">
        <x:v>2026-08-07 00:00:00</x:v>
      </x:c>
      <x:c r="J6" s="15" t="str">
        <x:v>0-1</x:v>
      </x:c>
      <x:c r="K6" s="15" t="str">
        <x:v>Degree required</x:v>
      </x:c>
      <x:c r="L6" s="15" t="str">
        <x:v>Statistics, R, Python, SQL</x:v>
      </x:c>
      <x:c r="M6" s="15" t="str">
        <x:v>Tableau</x:v>
      </x:c>
      <x:c r="N6" s="15" t="str">
        <x:v>Y</x:v>
      </x:c>
      <x:c r="O6" s="15" t="str">
        <x:v>Excel</x:v>
      </x:c>
      <x:c r="P6" s="15" t="str">
        <x:v>N</x:v>
      </x:c>
      <x:c r="Q6" s="15" t="str">
        <x:v>Not Mentioned</x:v>
      </x:c>
      <x:c r="R6" s="15" t="str">
        <x:v>collaboration</x:v>
      </x:c>
      <x:c r="S6" s="15" t="str"/>
      <x:c r="T6" s="15" t="str">
        <x:v>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x:v>
      </x:c>
      <x:c r="U6" s="15" t="str">
        <x:v>Evidence verified 2026-08-11. Company corrected to Agoda and the full source title restored. SQL is explicit. LinkedIn advertises the role in Cape Town while the title says Bangkok Based. Retained in the main DA sample by user decision on 2026-08-11; treat this geography conflict as a documented limitation.</x:v>
      </x:c>
      <x:c r="V6" s="15" t="str">
        <x:v>Y</x:v>
      </x:c>
      <x:c r="W6" s="15" t="str">
        <x:v>N</x:v>
      </x:c>
      <x:c r="X6" s="15" t="str">
        <x:v>Y</x:v>
      </x:c>
      <x:c r="Y6" s="15" t="str">
        <x:v>Y</x:v>
      </x:c>
      <x:c r="Z6" s="15" t="str">
        <x:v>N</x:v>
      </x:c>
    </x:row>
    <x:row r="7">
      <x:c r="A7" s="15" t="str">
        <x:v>DA-011</x:v>
      </x:c>
      <x:c r="B7" s="15" t="str">
        <x:v>Intern- Data Analyst</x:v>
      </x:c>
      <x:c r="C7" s="15" t="str">
        <x:v>VML</x:v>
      </x:c>
      <x:c r="D7" s="15" t="str">
        <x:v>Johannesburg, Gauteng</x:v>
      </x:c>
      <x:c r="E7" s="15" t="str">
        <x:v>Hybrid</x:v>
      </x:c>
      <x:c r="F7" s="15" t="str">
        <x:v>LinkedIn</x:v>
      </x:c>
      <x:c r="G7" s="15" t="str">
        <x:v>https://www.linkedin.com/jobs/view/4448611207/?alternateChannel=search&amp;eBP=NOT_ELIGIBLE_FOR_CHARGING&amp;refId=GA3feIWyeDh8qrrtCMCbQQ%3D%3D&amp;trackingId=JcJaZqYTFAiAYruybTTWBw%3D%3D</x:v>
      </x:c>
      <x:c r="H7" s="15" t="str">
        <x:v>2026-08-04 00:00:00</x:v>
      </x:c>
      <x:c r="I7" s="15" t="str">
        <x:v>2026-08-07 00:00:00</x:v>
      </x:c>
      <x:c r="J7" s="15" t="str">
        <x:v>0</x:v>
      </x:c>
      <x:c r="K7" s="15" t="str">
        <x:v>Degree required</x:v>
      </x:c>
      <x:c r="L7" s="15" t="str">
        <x:v>Statistics, SQL, Python, R</x:v>
      </x:c>
      <x:c r="M7" s="15" t="str">
        <x:v>Power BI, Tableau, Google Data Studio / Looker Studio</x:v>
      </x:c>
      <x:c r="N7" s="15" t="str">
        <x:v>Y</x:v>
      </x:c>
      <x:c r="O7" s="15" t="str"/>
      <x:c r="P7" s="15" t="str">
        <x:v>Y</x:v>
      </x:c>
      <x:c r="Q7" s="15" t="str">
        <x:v>Required</x:v>
      </x:c>
      <x:c r="R7" s="15" t="str">
        <x:v>collaboration</x:v>
      </x:c>
      <x:c r="S7" s="15" t="str"/>
      <x:c r="T7" s="15" t="str">
        <x:v>VML, part of WPP, is a leading creative company that combines brand experience, customer experience, and commerce, creating connected brands to drive growth. VML is celebrated for its innovative and human first, award-winning work for blue chip client partners including AstraZeneca, Colgate-Palmolive, Dell, Ford, Microsoft, Nestlé, The Coca-Cola Company, and Wendy's. The agency is recognized by the Forrester Wave™ Reports, as a Leader among Marketing Creative and Content Service Providers, Commerce Services, Global Digital Experience Services, Global Marketing Services and, most recently, Marketing Measurement &amp; Optimization. In addition, VML’s specialist health network, VML Health, is one of the world’s largest and most awarded health agencies. VML’s global network is powered by 26,000 talented people across 55+ markets, with principal offices in Kansas City, New York, Detroit, London, São Paulo, Shanghai, Singapore, and Sydney.</x:v>
      </x:c>
      <x:c r="U7" s="15" t="str">
        <x:v>Evidence verified 2026-08-11. SQL is explicit and a portfolio, university project, or personal data project is requested (required).</x:v>
      </x:c>
      <x:c r="V7" s="15" t="str">
        <x:v>N</x:v>
      </x:c>
      <x:c r="W7" s="15" t="str">
        <x:v>Y</x:v>
      </x:c>
      <x:c r="X7" s="15" t="str">
        <x:v>Y</x:v>
      </x:c>
      <x:c r="Y7" s="15" t="str">
        <x:v>Y</x:v>
      </x:c>
      <x:c r="Z7" s="15" t="str">
        <x:v>N</x:v>
      </x:c>
    </x:row>
    <x:row r="8">
      <x:c r="A8" s="15" t="str">
        <x:v>DA-012</x:v>
      </x:c>
      <x:c r="B8" s="15" t="str">
        <x:v>Junior Business Analyst Intern (SAP &amp; Data Analytics)</x:v>
      </x:c>
      <x:c r="C8" s="15" t="str">
        <x:v>E2E Staffing (PTY) Ltd</x:v>
      </x:c>
      <x:c r="D8" s="15" t="str">
        <x:v>East London, Eastern Cape</x:v>
      </x:c>
      <x:c r="E8" s="15" t="str">
        <x:v>On-site</x:v>
      </x:c>
      <x:c r="F8" s="15" t="str">
        <x:v>PNet</x:v>
      </x:c>
      <x:c r="G8" s="15" t="str">
        <x:v>https://www.pnet.co.za/jobs--Junior-Business-Analyst-Intern-SAP-Data-Analytics-East-London-E2E-Staffing-PTY-Ltd--4236180-inline.html?rltr=1_1_25_seorl_m_0_0_0_0_0_0</x:v>
      </x:c>
      <x:c r="H8" s="15" t="str">
        <x:v>2026-08-04 00:00:00</x:v>
      </x:c>
      <x:c r="I8" s="15" t="str">
        <x:v>2026-08-07 00:00:00</x:v>
      </x:c>
      <x:c r="J8" s="15" t="str">
        <x:v>1-3</x:v>
      </x:c>
      <x:c r="K8" s="15" t="str">
        <x:v>Degree required</x:v>
      </x:c>
      <x:c r="L8" s="15" t="str">
        <x:v>SQL</x:v>
      </x:c>
      <x:c r="M8" s="15" t="str">
        <x:v>Excel (dashboards/pivot tables), Power BI</x:v>
      </x:c>
      <x:c r="N8" s="15" t="str">
        <x:v>Y</x:v>
      </x:c>
      <x:c r="O8" s="15" t="str">
        <x:v>Excel</x:v>
      </x:c>
      <x:c r="P8" s="15" t="str">
        <x:v>N</x:v>
      </x:c>
      <x:c r="Q8" s="15" t="str">
        <x:v>Not Mentioned</x:v>
      </x:c>
      <x:c r="R8" s="15" t="str">
        <x:v>problem-solving skills, attention to detail</x:v>
      </x:c>
      <x:c r="S8" s="15" t="str"/>
      <x:c r="T8" s="15" t="str">
        <x:v>Develop and maintain reports, dashboards, and KPIs using Power BI and Excel.</x:v>
      </x:c>
      <x:c r="U8" s="15" t="str"/>
      <x:c r="V8" s="15" t="str">
        <x:v>Y</x:v>
      </x:c>
      <x:c r="W8" s="15" t="str">
        <x:v>Y</x:v>
      </x:c>
      <x:c r="X8" s="15" t="str">
        <x:v>N</x:v>
      </x:c>
      <x:c r="Y8" s="15" t="str">
        <x:v>N</x:v>
      </x:c>
      <x:c r="Z8" s="15" t="str">
        <x:v>N</x:v>
      </x:c>
    </x:row>
    <x:row r="9">
      <x:c r="A9" s="15" t="str">
        <x:v>DA-013</x:v>
      </x:c>
      <x:c r="B9" s="15" t="str">
        <x:v>Junior Data Analyst</x:v>
      </x:c>
      <x:c r="C9" s="15" t="str">
        <x:v>Persona Staff cc</x:v>
      </x:c>
      <x:c r="D9" s="15" t="str">
        <x:v>Cape Town Northern Suburbs, Western Cape</x:v>
      </x:c>
      <x:c r="E9" s="15" t="str">
        <x:v>On-site</x:v>
      </x:c>
      <x:c r="F9" s="15" t="str">
        <x:v>PNet</x:v>
      </x:c>
      <x:c r="G9" s="15" t="str">
        <x:v>https://www.pnet.co.za/jobs--Junior-Data-Analyst-CPT-Northern-Suburbs-Persona-Staff-cc--4231496-inline.html?rltr=2_2_25_seorl_m_0_0_0_0_0_0</x:v>
      </x:c>
      <x:c r="H9" s="15" t="str">
        <x:v>2026-07-28 00:00:00</x:v>
      </x:c>
      <x:c r="I9" s="15" t="str">
        <x:v>2026-08-07 00:00:00</x:v>
      </x:c>
      <x:c r="J9" s="15" t="str">
        <x:v>0-2</x:v>
      </x:c>
      <x:c r="K9" s="15" t="str">
        <x:v>Degree required</x:v>
      </x:c>
      <x:c r="L9" s="15" t="str">
        <x:v>Statistics, SQL, R</x:v>
      </x:c>
      <x:c r="M9" s="15" t="str">
        <x:v>Power BI</x:v>
      </x:c>
      <x:c r="N9" s="15" t="str">
        <x:v>Y</x:v>
      </x:c>
      <x:c r="O9" s="15" t="str">
        <x:v>Excel</x:v>
      </x:c>
      <x:c r="P9" s="15" t="str">
        <x:v>N</x:v>
      </x:c>
      <x:c r="Q9" s="15" t="str">
        <x:v>Not Mentioned</x:v>
      </x:c>
      <x:c r="R9" s="15" t="str">
        <x:v>analytical thinking, attention to detail, time management</x:v>
      </x:c>
      <x:c r="S9" s="15" t="str"/>
      <x:c r="T9" s="15" t="str">
        <x:v>Experience with Power BI, SQL, or similar tools advantageous</x:v>
      </x:c>
      <x:c r="U9" s="15" t="str"/>
      <x:c r="V9" s="15" t="str">
        <x:v>Y</x:v>
      </x:c>
      <x:c r="W9" s="15" t="str">
        <x:v>Y</x:v>
      </x:c>
      <x:c r="X9" s="15" t="str">
        <x:v>N</x:v>
      </x:c>
      <x:c r="Y9" s="15" t="str">
        <x:v>N</x:v>
      </x:c>
      <x:c r="Z9" s="15" t="str">
        <x:v>N</x:v>
      </x:c>
    </x:row>
    <x:row r="10">
      <x:c r="A10" s="15" t="str">
        <x:v>DA-014</x:v>
      </x:c>
      <x:c r="B10" s="15" t="str">
        <x:v>Junior Data Analyst</x:v>
      </x:c>
      <x:c r="C10" s="15" t="str">
        <x:v>Belay Talent Solutions (Pty) Ltd</x:v>
      </x:c>
      <x:c r="D10" s="15" t="str">
        <x:v>Pretoria, Gauteng</x:v>
      </x:c>
      <x:c r="E10" s="15" t="str">
        <x:v>Hybrid</x:v>
      </x:c>
      <x:c r="F10" s="15" t="str">
        <x:v>PNet</x:v>
      </x:c>
      <x:c r="G10" s="15" t="str">
        <x:v>https://www.pnet.co.za/jobs--Junior-Data-Analyst-Cape-Town-Belay-Talent-Solutions-Pty-Ltd--4229011-inline.html?rltr=3_3_25_seorl_m_0_0_0_0_0_0</x:v>
      </x:c>
      <x:c r="H10" s="15" t="str">
        <x:v>2026-07-23 00:00:00</x:v>
      </x:c>
      <x:c r="I10" s="15" t="str">
        <x:v>2026-08-07 00:00:00</x:v>
      </x:c>
      <x:c r="J10" s="15" t="str">
        <x:v>0-1</x:v>
      </x:c>
      <x:c r="K10" s="15" t="str">
        <x:v>Degree required</x:v>
      </x:c>
      <x:c r="L10" s="15" t="str">
        <x:v>SQL, Data Cleaning, Statistics, Python, R</x:v>
      </x:c>
      <x:c r="M10" s="15" t="str">
        <x:v>Power BI, Tableau</x:v>
      </x:c>
      <x:c r="N10" s="15" t="str">
        <x:v>Y</x:v>
      </x:c>
      <x:c r="O10" s="15" t="str">
        <x:v>Excel, Power Query</x:v>
      </x:c>
      <x:c r="P10" s="15" t="str">
        <x:v>N</x:v>
      </x:c>
      <x:c r="Q10" s="15" t="str">
        <x:v>Not Mentioned</x:v>
      </x:c>
      <x:c r="R10" s="15" t="str">
        <x:v>Collaborate, problem-solving, communication skills</x:v>
      </x:c>
      <x:c r="S10" s="15" t="str">
        <x:v>present findings, present findings to stakeholders</x:v>
      </x:c>
      <x:c r="T10" s="15" t="str">
        <x:v>A top IT company in Cape Town requires a Junior Data Analyst on contract with experience in Data Analytics, Business Intelligence, Reporting, or a related field, with practical exposure to SQL, data visualization tools (Power BI/Tableau), data cleaning, and business reporting.</x:v>
      </x:c>
      <x:c r="U10" s="15" t="str"/>
      <x:c r="V10" s="15" t="str">
        <x:v>Y</x:v>
      </x:c>
      <x:c r="W10" s="15" t="str">
        <x:v>Y</x:v>
      </x:c>
      <x:c r="X10" s="15" t="str">
        <x:v>Y</x:v>
      </x:c>
      <x:c r="Y10" s="15" t="str">
        <x:v>Y</x:v>
      </x:c>
      <x:c r="Z10" s="15" t="str">
        <x:v>Y</x:v>
      </x:c>
    </x:row>
    <x:row r="11">
      <x:c r="A11" s="15" t="str">
        <x:v>DA-018</x:v>
      </x:c>
      <x:c r="B11" s="15" t="str">
        <x:v>Junior Analyst Business Intelligence</x:v>
      </x:c>
      <x:c r="C11" s="15" t="str">
        <x:v>Credit Solutions Services (CSS)</x:v>
      </x:c>
      <x:c r="D11" s="15" t="str">
        <x:v>Randburg, Gauteng</x:v>
      </x:c>
      <x:c r="E11" s="15" t="str">
        <x:v>On-site</x:v>
      </x:c>
      <x:c r="F11" s="15" t="str">
        <x:v>PNet</x:v>
      </x:c>
      <x:c r="G11" s="15" t="str">
        <x:v>https://www.pnet.co.za/jobs--Junior-Analyst-Business-Intelligence-Randburg-Credit-Solutions-Services-CSS--4231341-inline.html?rltr=8_8_25_seorl_s_0_0_0_0_0_0</x:v>
      </x:c>
      <x:c r="H11" s="15" t="str">
        <x:v>2026-08-01 00:00:00</x:v>
      </x:c>
      <x:c r="I11" s="15" t="str">
        <x:v>2026-08-07 00:00:00</x:v>
      </x:c>
      <x:c r="J11" s="15" t="str">
        <x:v>2+</x:v>
      </x:c>
      <x:c r="K11" s="15" t="str">
        <x:v>No qualification specified</x:v>
      </x:c>
      <x:c r="L11" s="15" t="str">
        <x:v>Statistics, SQL, Python</x:v>
      </x:c>
      <x:c r="M11" s="15" t="str">
        <x:v>Power BI, Tableau</x:v>
      </x:c>
      <x:c r="N11" s="15" t="str">
        <x:v>Y</x:v>
      </x:c>
      <x:c r="O11" s="15" t="str">
        <x:v>Excel</x:v>
      </x:c>
      <x:c r="P11" s="15" t="str">
        <x:v>N</x:v>
      </x:c>
      <x:c r="Q11" s="15" t="str">
        <x:v>Not Mentioned</x:v>
      </x:c>
      <x:c r="R11" s="15" t="str">
        <x:v>collaboration, interpersonal skills, Problem solving, Attention to detail</x:v>
      </x:c>
      <x:c r="S11" s="15" t="str"/>
      <x:c r="T11" s="15" t="str">
        <x:v>Ensure collaboration and co-ordination between the QA requirements, as well as process requirements Assist in team member career development</x:v>
      </x:c>
      <x:c r="U11" s="15" t="str"/>
      <x:c r="V11" s="15" t="str">
        <x:v>Y</x:v>
      </x:c>
      <x:c r="W11" s="15" t="str">
        <x:v>Y</x:v>
      </x:c>
      <x:c r="X11" s="15" t="str">
        <x:v>Y</x:v>
      </x:c>
      <x:c r="Y11" s="15" t="str">
        <x:v>Y</x:v>
      </x:c>
      <x:c r="Z11" s="15" t="str">
        <x:v>N</x:v>
      </x:c>
    </x:row>
    <x:row r="12">
      <x:c r="A12" s="15" t="str">
        <x:v>DA-019</x:v>
      </x:c>
      <x:c r="B12" s="15" t="str">
        <x:v>Junior Business Analyst Intern</x:v>
      </x:c>
      <x:c r="C12" s="15" t="str">
        <x:v>Profile Personnel</x:v>
      </x:c>
      <x:c r="D12" s="15" t="str">
        <x:v>Mdantsane, Eastern Cape</x:v>
      </x:c>
      <x:c r="E12" s="15" t="str">
        <x:v>Hybrid</x:v>
      </x:c>
      <x:c r="F12" s="15" t="str">
        <x:v>PNet</x:v>
      </x:c>
      <x:c r="G12" s="15" t="str">
        <x:v>https://www.pnet.co.za/jobs--Junior-Business-Analyst-Intern-Mdantsane-South-Africa-Profile-Personnel--4237200-inline.html?rltr=17_17_25_seorl_s_0_0_0_0_0_0</x:v>
      </x:c>
      <x:c r="H12" s="15" t="str">
        <x:v>2026-08-06 00:00:00</x:v>
      </x:c>
      <x:c r="I12" s="15" t="str">
        <x:v>2026-08-07 00:00:00</x:v>
      </x:c>
      <x:c r="J12" s="15" t="str">
        <x:v>1-3</x:v>
      </x:c>
      <x:c r="K12" s="15" t="str">
        <x:v>Degree required</x:v>
      </x:c>
      <x:c r="L12" s="15" t="str">
        <x:v>SQL</x:v>
      </x:c>
      <x:c r="M12" s="15" t="str">
        <x:v>Excel (dashboards/pivot tables), Power BI</x:v>
      </x:c>
      <x:c r="N12" s="15" t="str">
        <x:v>Y</x:v>
      </x:c>
      <x:c r="O12" s="15" t="str">
        <x:v>Excel</x:v>
      </x:c>
      <x:c r="P12" s="15" t="str">
        <x:v>N</x:v>
      </x:c>
      <x:c r="Q12" s="15" t="str">
        <x:v>Not Mentioned</x:v>
      </x:c>
      <x:c r="R12" s="15" t="str">
        <x:v>problem-solving skills, attention to detail</x:v>
      </x:c>
      <x:c r="S12" s="15" t="str">
        <x:v>Graduate Programme</x:v>
      </x:c>
      <x:c r="T12" s="15" t="str">
        <x:v>Strong Microsoft Excel and Power BI skills.</x:v>
      </x:c>
      <x:c r="U12" s="15" t="str"/>
      <x:c r="V12" s="15" t="str">
        <x:v>Y</x:v>
      </x:c>
      <x:c r="W12" s="15" t="str">
        <x:v>Y</x:v>
      </x:c>
      <x:c r="X12" s="15" t="str">
        <x:v>N</x:v>
      </x:c>
      <x:c r="Y12" s="15" t="str">
        <x:v>N</x:v>
      </x:c>
      <x:c r="Z12" s="15" t="str">
        <x:v>N</x:v>
      </x:c>
    </x:row>
    <x:row r="13">
      <x:c r="A13" s="15" t="str">
        <x:v>DA-020</x:v>
      </x:c>
      <x:c r="B13" s="15" t="str">
        <x:v>Data Analyst (AI)</x:v>
      </x:c>
      <x:c r="C13" s="15" t="str">
        <x:v>Network IT</x:v>
      </x:c>
      <x:c r="D13" s="15" t="str">
        <x:v>Johannesburg North, Gauteng</x:v>
      </x:c>
      <x:c r="E13" s="15" t="str"/>
      <x:c r="F13" s="15" t="str">
        <x:v>PNet</x:v>
      </x:c>
      <x:c r="G13" s="15" t="str">
        <x:v>https://www.pnet.co.za/jobs--Data-Analyst-AI-Johannesburg-North-Network-IT--4237434-inline.html?rltr=20_20_25_seorl_s_0_0_0_0_0_0</x:v>
      </x:c>
      <x:c r="H13" s="15" t="str">
        <x:v>2026-08-06 00:00:00</x:v>
      </x:c>
      <x:c r="I13" s="15" t="str">
        <x:v>2026-08-07 00:00:00</x:v>
      </x:c>
      <x:c r="J13" s="15" t="str">
        <x:v>1-2</x:v>
      </x:c>
      <x:c r="K13" s="15" t="str">
        <x:v>Certificate/bootcamp mentioned</x:v>
      </x:c>
      <x:c r="L13" s="15" t="str">
        <x:v>SQL</x:v>
      </x:c>
      <x:c r="M13" s="15" t="str">
        <x:v>Power BI, Tableau</x:v>
      </x:c>
      <x:c r="N13" s="15" t="str">
        <x:v>Y</x:v>
      </x:c>
      <x:c r="O13" s="15" t="str"/>
      <x:c r="P13" s="15" t="str">
        <x:v>N</x:v>
      </x:c>
      <x:c r="Q13" s="15" t="str">
        <x:v>Not Mentioned</x:v>
      </x:c>
      <x:c r="R13" s="15" t="str">
        <x:v>collaborative, problem-solving, communication skills</x:v>
      </x:c>
      <x:c r="S13" s="15" t="str"/>
      <x:c r="T13" s="15" t="str">
        <x:v>BI Analyst (Power BI, Tableau, SQL) EvdB</x:v>
      </x:c>
      <x:c r="U13" s="15" t="str">
        <x:v>Evidence verified 2026-08-11. The accessible source does not state on-site, hybrid or remote arrangement; Work Type remains blank and must be excluded from work-type denominators.</x:v>
      </x:c>
      <x:c r="V13" s="15" t="str">
        <x:v>N</x:v>
      </x:c>
      <x:c r="W13" s="15" t="str">
        <x:v>Y</x:v>
      </x:c>
      <x:c r="X13" s="15" t="str">
        <x:v>Y</x:v>
      </x:c>
      <x:c r="Y13" s="15" t="str">
        <x:v>N</x:v>
      </x:c>
      <x:c r="Z13" s="15" t="str">
        <x:v>N</x:v>
      </x:c>
    </x:row>
    <x:row r="14">
      <x:c r="A14" s="15" t="str">
        <x:v>DA-023</x:v>
      </x:c>
      <x:c r="B14" s="15" t="str">
        <x:v>Data Analyst: Analytics and Visualization</x:v>
      </x:c>
      <x:c r="C14" s="15" t="str">
        <x:v>Jurumani Solutions</x:v>
      </x:c>
      <x:c r="D14" s="15" t="str">
        <x:v>Midrand, Gauteng</x:v>
      </x:c>
      <x:c r="E14" s="15" t="str"/>
      <x:c r="F14" s="15" t="str">
        <x:v>Indeed</x:v>
      </x:c>
      <x:c r="G14" s="15" t="str">
        <x:v>https://za.indeed.com/rc/clk?jk=892e492e2638901f&amp;bb=W_hLRmIvEt_OuZy8tsjUP2WyyYFsL8QRNfbeHSl61MecCoAZUu406KIQ57qWZVwUydp7o4I1rAUNoW5HjgZuVVfJrFfWxy7eojWp-xD1QuQIUbzC8cfaj2OW_ZPRx5NuiSL-7C2YkEM8_oOav_fD9peo30-6LL7fL-vIFLmcUG07arap6SbQNQ%3D%3D&amp;xkcb=SoDc67M3gtgTl2TNTh0PbzkdCdPP&amp;fccid=1599f314064d8d55&amp;vjs=3</x:v>
      </x:c>
      <x:c r="H14" s="15" t="str"/>
      <x:c r="I14" s="15" t="str">
        <x:v>2026-08-07 00:00:00</x:v>
      </x:c>
      <x:c r="J14" s="15" t="str">
        <x:v>Not specified</x:v>
      </x:c>
      <x:c r="K14" s="15" t="str">
        <x:v>No qualification specified</x:v>
      </x:c>
      <x:c r="L14" s="15" t="str">
        <x:v>Data Modelling, Python</x:v>
      </x:c>
      <x:c r="M14" s="15" t="str">
        <x:v>Power BI</x:v>
      </x:c>
      <x:c r="N14" s="15" t="str">
        <x:v>N</x:v>
      </x:c>
      <x:c r="O14" s="15" t="str">
        <x:v>pandas</x:v>
      </x:c>
      <x:c r="P14" s="15" t="str">
        <x:v>N</x:v>
      </x:c>
      <x:c r="Q14" s="15" t="str">
        <x:v>Not Mentioned</x:v>
      </x:c>
      <x:c r="R14" s="15" t="str">
        <x:v>analytical thinking, problem solving skills, attention to detail, Collaborate</x:v>
      </x:c>
      <x:c r="S14" s="15" t="str">
        <x:v>working independently</x:v>
      </x:c>
      <x:c r="T14" s="15" t="str">
        <x:v>Data modeling DAX Dashboard optimization Executive reporting design ✔️ Experience working as a Data Analyst, Data Scientist, or analytics focused professional ✔️ The ability to turn large, messy datasets into meaningful insights ✔️ Strong analytical thinking and problem solving skills ✔️ Confidence working independently while contributing effectively within a focused team ✔️ Exceptional attention to detail and visual precision</x:v>
      </x:c>
      <x:c r="U14" s="15" t="str">
        <x:v>Evidence verified 2026-08-11. Accessible sources state full-time employment but do not state the working arrangement or an exact posted date; both fields remain blank and must be excluded from relevant denominators.</x:v>
      </x:c>
      <x:c r="V14" s="15" t="str">
        <x:v>N</x:v>
      </x:c>
      <x:c r="W14" s="15" t="str">
        <x:v>Y</x:v>
      </x:c>
      <x:c r="X14" s="15" t="str">
        <x:v>N</x:v>
      </x:c>
      <x:c r="Y14" s="15" t="str">
        <x:v>Y</x:v>
      </x:c>
      <x:c r="Z14" s="15" t="str">
        <x:v>N</x:v>
      </x:c>
    </x:row>
    <x:row r="15">
      <x:c r="A15" s="15" t="str">
        <x:v>DA-024</x:v>
      </x:c>
      <x:c r="B15" s="15" t="str">
        <x:v>Data Analyst</x:v>
      </x:c>
      <x:c r="C15" s="15" t="str">
        <x:v>Initiate</x:v>
      </x:c>
      <x:c r="D15" s="15" t="str">
        <x:v>Johannesburg, Gauteng / Cape Town, Western Cape</x:v>
      </x:c>
      <x:c r="E15" s="15" t="str">
        <x:v>Hybrid</x:v>
      </x:c>
      <x:c r="F15" s="15" t="str">
        <x:v>Indeed</x:v>
      </x:c>
      <x:c r="G15" s="15" t="str">
        <x:v>https://za.indeed.com/rc/clk?jk=aec2f757a9dc3260&amp;bb=W_hLRmIvEt_OuZy8tsjUP1ND2OVg-UZkokhy5zJ4lcCTz0SPHnMN6CbZas3TdnTs_E3NQHPEaK-wMP7uItnbyHb_mEsaEpPczdN4QDpDv_m9t4VWXFniBX8Jpe8CKBWS37bGgSrFo_0L6cMByETsNl10Qohu_9Iq5JE6GBV-YJmWbV8lp9EPWw%3D%3D&amp;xkcb=SoBo67M3gtgTl2TNTh0ObzkdCdPP&amp;fccid=7a46a1d1c3e9e305&amp;vjs=3</x:v>
      </x:c>
      <x:c r="H15" s="15" t="str">
        <x:v>2026-08-07 00:00:00</x:v>
      </x:c>
      <x:c r="I15" s="15" t="str">
        <x:v>2026-08-07 00:00:00</x:v>
      </x:c>
      <x:c r="J15" s="15" t="str">
        <x:v>Not specified</x:v>
      </x:c>
      <x:c r="K15" s="15" t="str">
        <x:v>No qualification specified</x:v>
      </x:c>
      <x:c r="L15" s="15" t="str">
        <x:v>SQL, Statistics</x:v>
      </x:c>
      <x:c r="M15" s="15" t="str">
        <x:v>Power BI, Tableau, Google Data Studio / Looker Studio</x:v>
      </x:c>
      <x:c r="N15" s="15" t="str">
        <x:v>Y</x:v>
      </x:c>
      <x:c r="O15" s="15" t="str">
        <x:v>Excel</x:v>
      </x:c>
      <x:c r="P15" s="15" t="str">
        <x:v>N</x:v>
      </x:c>
      <x:c r="Q15" s="15" t="str">
        <x:v>Not Mentioned</x:v>
      </x:c>
      <x:c r="R15" s="15" t="str">
        <x:v>attention to detail, problem-solving skills, time management, self-motivated</x:v>
      </x:c>
      <x:c r="S15" s="15" t="str">
        <x:v>willingness to learn</x:v>
      </x:c>
      <x:c r="T15" s="15" t="str">
        <x:v>Previous experience as a Data Analyst, Reporting Analyst, Business Intelligence Analyst, or in a similar analytical role Strong understanding of data analysis, reporting methodologies, and BI principles Experience working with reporting and visualisation tools such as Power BI, Tableau, Looker Studio, Google Analytics, or similar platforms Strong Excel and SQL skills for data extraction, manipulation, analysis, and reporting Experience working with large datasets and multiple data sources Exposure to databases, data structures, and reporting environments Strong analytical, numerical, and problem-solving skills High attention to detail and a strong focus on accuracy Ability to identify trends, patterns, anomalies, and actionable insights from data Commercial awareness and an understanding of business performance drivers Strong communication and stakeholder engagement skills Ability to explain complex data clearly to both technical and non-technical audiences Ability to work collaboratively across multiple departments and business functions Strong organisational and time management skills Ability to manage multiple priorities in a fast-paced, evolving environment A self-motivated approach with a willingness to learn, improve, and grow within the analytics field A relevant qualification in Data Analytics, Statistics, Mathematics, Computer Science, Information Systems, Finance, Economics, or a related field would be advantageous Relevant BI, analytics, or data certifications would be beneficial, but are not essential Who this role is perfect for</x:v>
      </x:c>
      <x:c r="U15" s="15" t="str">
        <x:v>Evidence verified 2026-08-11. The Indeed header says Johannesburg while the description says Cape Town; a matching mirror marks the role Hybrid. The dual-city value is retained to preserve the source conflict.</x:v>
      </x:c>
      <x:c r="V15" s="15" t="str">
        <x:v>Y</x:v>
      </x:c>
      <x:c r="W15" s="15" t="str">
        <x:v>Y</x:v>
      </x:c>
      <x:c r="X15" s="15" t="str">
        <x:v>Y</x:v>
      </x:c>
      <x:c r="Y15" s="15" t="str">
        <x:v>N</x:v>
      </x:c>
      <x:c r="Z15" s="15" t="str">
        <x:v>N</x:v>
      </x:c>
    </x:row>
    <x:row r="16">
      <x:c r="A16" s="15" t="str">
        <x:v>DA-025</x:v>
      </x:c>
      <x:c r="B16" s="15" t="str">
        <x:v>Junior Data Analyst</x:v>
      </x:c>
      <x:c r="C16" s="15" t="str">
        <x:v>Ad Hoc Client</x:v>
      </x:c>
      <x:c r="D16" s="15" t="str">
        <x:v>Johannesburg, Gauteng</x:v>
      </x:c>
      <x:c r="E16" s="15" t="str">
        <x:v>Hybrid</x:v>
      </x:c>
      <x:c r="F16" s="15" t="str">
        <x:v>PNet</x:v>
      </x:c>
      <x:c r="G16" s="15" t="str">
        <x:v>https://www.pnet.co.za/jobs--Junior-Data-Analyst-Hyde-Park-Ad-Hoc-Client--4247948-inline.html?rltr=1_1_25_seorl_m_0_0_0_0_0_0</x:v>
      </x:c>
      <x:c r="H16" s="15" t="str">
        <x:v>2026-08-07 00:00:00</x:v>
      </x:c>
      <x:c r="I16" s="15" t="str">
        <x:v>2026-08-11 00:00:00</x:v>
      </x:c>
      <x:c r="J16" s="15" t="str">
        <x:v>0-1</x:v>
      </x:c>
      <x:c r="K16" s="15" t="str">
        <x:v>No qualification specified</x:v>
      </x:c>
      <x:c r="L16" s="15" t="str">
        <x:v>SQL</x:v>
      </x:c>
      <x:c r="M16" s="15" t="str">
        <x:v>Power BI, Tableau</x:v>
      </x:c>
      <x:c r="N16" s="15" t="str">
        <x:v>Y</x:v>
      </x:c>
      <x:c r="O16" s="15" t="str"/>
      <x:c r="P16" s="15" t="str">
        <x:v>N</x:v>
      </x:c>
      <x:c r="Q16" s="15" t="str">
        <x:v>Not Mentioned</x:v>
      </x:c>
      <x:c r="R16" s="15" t="str"/>
      <x:c r="S16" s="15" t="str"/>
      <x:c r="T16" s="15" t="str">
        <x:v>BI Analyst (Power BI, Tableau, SQL) EvdB</x:v>
      </x:c>
      <x:c r="U16" s="15" t="str"/>
      <x:c r="V16" s="15" t="str">
        <x:v>N</x:v>
      </x:c>
      <x:c r="W16" s="15" t="str">
        <x:v>Y</x:v>
      </x:c>
      <x:c r="X16" s="15" t="str">
        <x:v>Y</x:v>
      </x:c>
      <x:c r="Y16" s="15" t="str">
        <x:v>N</x:v>
      </x:c>
      <x:c r="Z16" s="15" t="str">
        <x:v>N</x:v>
      </x:c>
    </x:row>
    <x:row r="17">
      <x:c r="A17" s="15" t="str">
        <x:v>SE-023</x:v>
      </x:c>
      <x:c r="B17" s="15" t="str">
        <x:v>AI Junior Analyst</x:v>
      </x:c>
      <x:c r="C17" s="15" t="str">
        <x:v>Tharisa Minerals</x:v>
      </x:c>
      <x:c r="D17" s="15" t="str">
        <x:v>Gauteng</x:v>
      </x:c>
      <x:c r="E17" s="15" t="str">
        <x:v>Hybrid</x:v>
      </x:c>
      <x:c r="F17" s="15" t="str">
        <x:v>Indeed</x:v>
      </x:c>
      <x:c r="G17" s="15" t="str">
        <x:v>https://za.indeed.com/rc/clk?jk=045a77a4a0c7d874&amp;bb=u-dmRXbCoxG2Nk5752so2YJ1uIpXvfCOsVVJdWXrmfJSYxhrnoktu4mGXrN8r2pnHXRUTOIlBcfasODNQZEbAu47gNDfwDe6dokNtHoK2eW3B73attqIXKUqIq_-I8sdg5TJfX5QQ49nRw2ZWOTpuhfYorAz76j2w0bJ-EYanKyZW1rbflo08w%3D%3D&amp;xkcb=SoA267M3grJdVnAfRL0LbzkdCdPP&amp;fccid=bbd8244ba1201e8b&amp;vjs=3</x:v>
      </x:c>
      <x:c r="H17" s="15" t="str">
        <x:v>2026-08-06 00:00:00</x:v>
      </x:c>
      <x:c r="I17" s="15" t="str">
        <x:v>2026-08-06 00:00:00</x:v>
      </x:c>
      <x:c r="J17" s="15" t="str">
        <x:v>0-2</x:v>
      </x:c>
      <x:c r="K17" s="15" t="str">
        <x:v>Degree required</x:v>
      </x:c>
      <x:c r="L17" s="15" t="str">
        <x:v>Python, SQL</x:v>
      </x:c>
      <x:c r="M17" s="15" t="str"/>
      <x:c r="N17" s="15" t="str">
        <x:v>Y</x:v>
      </x:c>
      <x:c r="O17" s="15" t="str">
        <x:v>Azure</x:v>
      </x:c>
      <x:c r="P17" s="15" t="str">
        <x:v>N</x:v>
      </x:c>
      <x:c r="Q17" s="15" t="str">
        <x:v>Not Mentioned</x:v>
      </x:c>
      <x:c r="R17" s="15" t="str"/>
      <x:c r="S17" s="15" t="str"/>
      <x:c r="T17" s="15" t="str">
        <x:v>0–2 years’ experience. Internship, project, coursework, or self-learning experience is acceptable. Foundational understanding of data, systems, business applications, reporting, or software development concepts. Basic exposure to AI, machine learning, automation, analytics, or digital transformation concepts will be advantageous.</x:v>
      </x:c>
      <x:c r="U17" s="15" t="str">
        <x:v>Manual pasted text was used. | Moved from SE Track to DA Track after joint review (Batch 2, 2026-08-11).</x:v>
      </x:c>
      <x:c r="V17" s="15" t="str">
        <x:v>N</x:v>
      </x:c>
      <x:c r="W17" s="15" t="str">
        <x:v>N</x:v>
      </x:c>
      <x:c r="X17" s="15" t="str">
        <x:v>N</x:v>
      </x:c>
      <x:c r="Y17" s="15" t="str">
        <x:v>Y</x:v>
      </x:c>
      <x:c r="Z17" s="15" t="str">
        <x:v>N</x:v>
      </x:c>
    </x:row>
  </x:sheetData>
  <x:pageMargins left="0.7" right="0.7" top="0.75" bottom="0.75" header="0.3" footer="0.3"/>
</x:worksheet>
</file>